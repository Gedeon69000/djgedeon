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Budget étage" sheetId="2" state="visible" r:id="rId2"/>
    <sheet name="Budget RDC" sheetId="3" state="visible" r:id="rId3"/>
    <sheet name="Budget Toiture" sheetId="4" state="visible" r:id="rId4"/>
    <sheet name="Paramèt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€;-#,##0 €;&quot;-&quot;"/>
  </numFmts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i val="1"/>
    </font>
    <font>
      <name val="Arial"/>
      <b val="1"/>
    </font>
    <font>
      <name val="Arial"/>
      <i val="1"/>
      <sz val="9"/>
    </font>
    <font>
      <name val="Arial"/>
      <color rgb="00008000"/>
    </font>
  </fonts>
  <fills count="6">
    <fill>
      <patternFill/>
    </fill>
    <fill>
      <patternFill patternType="gray125"/>
    </fill>
    <fill>
      <patternFill patternType="solid">
        <fgColor rgb="005B4636"/>
      </patternFill>
    </fill>
    <fill>
      <patternFill patternType="solid">
        <fgColor rgb="00FFFF00"/>
      </patternFill>
    </fill>
    <fill>
      <patternFill patternType="solid">
        <fgColor rgb="00EFE6D8"/>
      </patternFill>
    </fill>
    <fill>
      <patternFill patternType="solid">
        <fgColor rgb="00D9D2C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8" fillId="0" borderId="1" pivotButton="0" quotePrefix="0" xfId="0"/>
    <xf numFmtId="0" fontId="6" fillId="5" borderId="1" pivotButton="0" quotePrefix="0" xfId="0"/>
    <xf numFmtId="164" fontId="6" fillId="5" borderId="1" pivotButton="0" quotePrefix="0" xfId="0"/>
    <xf numFmtId="0" fontId="6" fillId="0" borderId="1" pivotButton="0" quotePrefix="0" xfId="0"/>
    <xf numFmtId="0" fontId="0" fillId="0" borderId="1" pivotButton="0" quotePrefix="0" xfId="0"/>
    <xf numFmtId="164" fontId="6" fillId="0" borderId="1" pivotButton="0" quotePrefix="0" xfId="0"/>
    <xf numFmtId="0" fontId="7" fillId="0" borderId="0" pivotButton="0" quotePrefix="0" xfId="0"/>
    <xf numFmtId="0" fontId="6" fillId="4" borderId="1" pivotButton="0" quotePrefix="0" xfId="0"/>
    <xf numFmtId="0" fontId="0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3" fillId="0" borderId="1" pivotButton="0" quotePrefix="0" xfId="0"/>
    <xf numFmtId="9" fontId="4" fillId="0" borderId="1" pivotButton="0" quotePrefix="0" xfId="0"/>
    <xf numFmtId="164" fontId="4" fillId="3" borderId="1" pivotButton="0" quotePrefix="0" xfId="0"/>
    <xf numFmtId="0" fontId="6" fillId="0" borderId="0" pivotButton="0" quotePrefix="0" xfId="0"/>
    <xf numFmtId="164" fontId="6" fillId="0" borderId="0" pivotButton="0" quotePrefix="0" xfId="0"/>
    <xf numFmtId="0" fontId="3" fillId="0" borderId="0" pivotButton="0" quotePrefix="0" xfId="0"/>
    <xf numFmtId="164" fontId="8" fillId="0" borderId="0" pivotButton="0" quotePrefix="0" xfId="0"/>
    <xf numFmtId="0" fontId="0" fillId="5" borderId="0" pivotButton="0" quotePrefix="0" xfId="0"/>
    <xf numFmtId="0" fontId="6" fillId="5" borderId="0" pivotButton="0" quotePrefix="0" xfId="0"/>
    <xf numFmtId="164" fontId="6" fillId="5" borderId="0" pivotButton="0" quotePrefix="0" xfId="0"/>
    <xf numFmtId="164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9" fontId="4" fillId="3" borderId="0" pivotButton="0" quotePrefix="0" xfId="0"/>
    <xf numFmtId="0" fontId="5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Claude</author>
  </authors>
  <commentList>
    <comment ref="M4" authorId="0" shapeId="0">
      <text>
        <t>Saisissez ici le montant TTC du devis : il remplace la moyenne dans « Montant retenu ».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M4" authorId="0" shapeId="0">
      <text>
        <t>Saisissez ici le montant TTC du devis : il remplace la moyenne dans « Montant retenu ».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M4" authorId="0" shapeId="0">
      <text>
        <t>Saisissez ici le montant TTC du devis : il remplace la moyenne dans « Montant retenu ».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La Marinka — Synthèse du budget travaux (hors ameublement)</t>
        </is>
      </c>
    </row>
    <row r="3">
      <c r="A3" s="2" t="inlineStr">
        <is>
          <t>Poste</t>
        </is>
      </c>
      <c r="B3" s="2" t="inlineStr">
        <is>
          <t>Total min €</t>
        </is>
      </c>
      <c r="C3" s="2" t="inlineStr">
        <is>
          <t>Total max €</t>
        </is>
      </c>
      <c r="D3" s="2" t="inlineStr">
        <is>
          <t>Auto min €</t>
        </is>
      </c>
      <c r="E3" s="2" t="inlineStr">
        <is>
          <t>Auto max €</t>
        </is>
      </c>
      <c r="F3" s="2" t="inlineStr">
        <is>
          <t>Montant retenu €</t>
        </is>
      </c>
    </row>
    <row r="4">
      <c r="A4" s="3" t="inlineStr">
        <is>
          <t>Étage (4 chambres + 4 SdE + WC)</t>
        </is>
      </c>
      <c r="B4" s="4">
        <f>'Budget étage'!G39</f>
        <v/>
      </c>
      <c r="C4" s="4">
        <f>'Budget étage'!H39</f>
        <v/>
      </c>
      <c r="D4" s="4">
        <f>'Budget étage'!K39</f>
        <v/>
      </c>
      <c r="E4" s="4">
        <f>'Budget étage'!L39</f>
        <v/>
      </c>
      <c r="F4" s="4">
        <f>'Budget étage'!N39</f>
        <v/>
      </c>
    </row>
    <row r="5">
      <c r="A5" s="3" t="inlineStr">
        <is>
          <t>Rez-de-chaussée (séjour, baie galandage)</t>
        </is>
      </c>
      <c r="B5" s="4">
        <f>'Budget RDC'!G27</f>
        <v/>
      </c>
      <c r="C5" s="4">
        <f>'Budget RDC'!H27</f>
        <v/>
      </c>
      <c r="D5" s="4">
        <f>'Budget RDC'!K27</f>
        <v/>
      </c>
      <c r="E5" s="4">
        <f>'Budget RDC'!L27</f>
        <v/>
      </c>
      <c r="F5" s="4">
        <f>'Budget RDC'!N27</f>
        <v/>
      </c>
    </row>
    <row r="6">
      <c r="A6" s="3" t="inlineStr">
        <is>
          <t>Toiture 260 m² + ravalement des façades</t>
        </is>
      </c>
      <c r="B6" s="4">
        <f>'Budget Toiture'!G21</f>
        <v/>
      </c>
      <c r="C6" s="4">
        <f>'Budget Toiture'!H21</f>
        <v/>
      </c>
      <c r="D6" s="4">
        <f>'Budget Toiture'!K21</f>
        <v/>
      </c>
      <c r="E6" s="4">
        <f>'Budget Toiture'!L21</f>
        <v/>
      </c>
      <c r="F6" s="4">
        <f>'Budget Toiture'!N21</f>
        <v/>
      </c>
    </row>
    <row r="7">
      <c r="A7" s="5" t="inlineStr">
        <is>
          <t>TOTAL TRAVAUX TTC — sans sarking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</row>
    <row r="8">
      <c r="A8" s="3" t="inlineStr">
        <is>
          <t>Option sarking : surcoût net (onglet Toiture)</t>
        </is>
      </c>
      <c r="B8" s="4">
        <f>'Budget Toiture'!G33</f>
        <v/>
      </c>
      <c r="C8" s="4">
        <f>'Budget Toiture'!H33</f>
        <v/>
      </c>
      <c r="D8" s="4">
        <f>'Budget Toiture'!K33</f>
        <v/>
      </c>
      <c r="E8" s="4">
        <f>'Budget Toiture'!L33</f>
        <v/>
      </c>
      <c r="F8" s="4">
        <f>'Budget Toiture'!N33</f>
        <v/>
      </c>
    </row>
    <row r="9">
      <c r="A9" s="5" t="inlineStr">
        <is>
          <t>TOTAL TRAVAUX TTC — avec sarking</t>
        </is>
      </c>
      <c r="B9" s="6">
        <f>B7+B8</f>
        <v/>
      </c>
      <c r="C9" s="6">
        <f>C7+C8</f>
        <v/>
      </c>
      <c r="D9" s="6">
        <f>D7+D8</f>
        <v/>
      </c>
      <c r="E9" s="6">
        <f>E7+E8</f>
        <v/>
      </c>
      <c r="F9" s="6">
        <f>F7+F8</f>
        <v/>
      </c>
    </row>
    <row r="11">
      <c r="A11" s="7" t="inlineStr">
        <is>
          <t>Postes hors budget (Paramètres)</t>
        </is>
      </c>
      <c r="B11" s="4">
        <f>Paramètres!B14</f>
        <v/>
      </c>
      <c r="C11" s="4">
        <f>Paramètres!C14</f>
        <v/>
      </c>
      <c r="D11" s="8" t="n"/>
      <c r="E11" s="8" t="n"/>
      <c r="F11" s="8" t="n"/>
    </row>
    <row r="12">
      <c r="A12" s="7" t="inlineStr">
        <is>
          <t>Enveloppe globale sans sarking</t>
        </is>
      </c>
      <c r="B12" s="9">
        <f>B7+B11</f>
        <v/>
      </c>
      <c r="C12" s="9">
        <f>C7+C11</f>
        <v/>
      </c>
      <c r="D12" s="8" t="n"/>
      <c r="E12" s="8" t="n"/>
      <c r="F12" s="8" t="n"/>
    </row>
    <row r="13">
      <c r="A13" s="7" t="inlineStr">
        <is>
          <t>Enveloppe globale avec sarking</t>
        </is>
      </c>
      <c r="B13" s="9">
        <f>B9+B11</f>
        <v/>
      </c>
      <c r="C13" s="9">
        <f>C9+C11</f>
        <v/>
      </c>
      <c r="D13" s="8" t="n"/>
      <c r="E13" s="8" t="n"/>
      <c r="F13" s="8" t="n"/>
    </row>
    <row r="15">
      <c r="A15" s="10" t="inlineStr">
        <is>
          <t>Ameublement non compris. Escalier compté une seule fois (onglet étage). Prix TTC indicatifs, à remplacer par les devis.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2" customWidth="1" min="2" max="2"/>
    <col width="8" customWidth="1" min="3" max="3"/>
    <col width="7" customWidth="1" min="4" max="4"/>
    <col width="11" customWidth="1" min="5" max="5"/>
    <col width="11" customWidth="1" min="6" max="6"/>
    <col width="13" customWidth="1" min="7" max="7"/>
    <col width="13" customWidth="1" min="8" max="8"/>
    <col width="11" customWidth="1" min="9" max="9"/>
    <col width="10" customWidth="1" min="10" max="10"/>
    <col width="13" customWidth="1" min="11" max="11"/>
    <col width="13" customWidth="1" min="12" max="12"/>
    <col width="13" customWidth="1" min="13" max="13"/>
    <col width="15" customWidth="1" min="14" max="14"/>
    <col width="44" customWidth="1" min="15" max="15"/>
  </cols>
  <sheetData>
    <row r="1">
      <c r="A1" s="1" t="inlineStr">
        <is>
          <t>La Marinka — Budget estimatif aménagement de l'étage (77 m²)</t>
        </is>
      </c>
    </row>
    <row r="2">
      <c r="A2" s="10" t="inlineStr">
        <is>
          <t>Prix TTC indicatifs (marché France 2025-2026, entreprise), travaux seuls sans ameublement. Cellules en BLEU = à ajuster ; colonne JAUNE « Devis reçu » = à remplir au fil des devis.</t>
        </is>
      </c>
    </row>
    <row r="4" ht="32" customHeight="1">
      <c r="A4" s="2" t="inlineStr">
        <is>
          <t>Lot</t>
        </is>
      </c>
      <c r="B4" s="2" t="inlineStr">
        <is>
          <t>Poste</t>
        </is>
      </c>
      <c r="C4" s="2" t="inlineStr">
        <is>
          <t>Unité</t>
        </is>
      </c>
      <c r="D4" s="2" t="inlineStr">
        <is>
          <t>Qté</t>
        </is>
      </c>
      <c r="E4" s="2" t="inlineStr">
        <is>
          <t>PU min €</t>
        </is>
      </c>
      <c r="F4" s="2" t="inlineStr">
        <is>
          <t>PU max €</t>
        </is>
      </c>
      <c r="G4" s="2" t="inlineStr">
        <is>
          <t>Total min €</t>
        </is>
      </c>
      <c r="H4" s="2" t="inlineStr">
        <is>
          <t>Total max €</t>
        </is>
      </c>
      <c r="I4" s="2" t="inlineStr">
        <is>
          <t>Faisable soi-même</t>
        </is>
      </c>
      <c r="J4" s="2" t="inlineStr">
        <is>
          <t>Part matériaux</t>
        </is>
      </c>
      <c r="K4" s="2" t="inlineStr">
        <is>
          <t>Auto min €</t>
        </is>
      </c>
      <c r="L4" s="2" t="inlineStr">
        <is>
          <t>Auto max €</t>
        </is>
      </c>
      <c r="M4" s="2" t="inlineStr">
        <is>
          <t>Devis reçu €</t>
        </is>
      </c>
      <c r="N4" s="2" t="inlineStr">
        <is>
          <t>Montant retenu €</t>
        </is>
      </c>
      <c r="O4" s="2" t="inlineStr">
        <is>
          <t>Commentaire</t>
        </is>
      </c>
    </row>
    <row r="5">
      <c r="A5" s="11" t="inlineStr">
        <is>
          <t>Gros œuvre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</row>
    <row r="6">
      <c r="A6" s="8" t="n"/>
      <c r="B6" s="3" t="inlineStr">
        <is>
          <t>Nouvelle trémie, reprise solivage, rebouchage ancienne trémie</t>
        </is>
      </c>
      <c r="C6" s="3" t="inlineStr">
        <is>
          <t>forfait</t>
        </is>
      </c>
      <c r="D6" s="13" t="n">
        <v>1</v>
      </c>
      <c r="E6" s="14" t="n">
        <v>3000</v>
      </c>
      <c r="F6" s="14" t="n">
        <v>8000</v>
      </c>
      <c r="G6" s="15">
        <f>D6*E6</f>
        <v/>
      </c>
      <c r="H6" s="15">
        <f>D6*F6</f>
        <v/>
      </c>
      <c r="I6" s="13" t="inlineStr">
        <is>
          <t>Non</t>
        </is>
      </c>
      <c r="J6" s="16" t="n">
        <v>0.5</v>
      </c>
      <c r="K6" s="15">
        <f>IF(I6="Oui",G6*J6,G6)</f>
        <v/>
      </c>
      <c r="L6" s="15">
        <f>IF(I6="Oui",H6*J6,H6)</f>
        <v/>
      </c>
      <c r="M6" s="17" t="n"/>
      <c r="N6" s="15">
        <f>IF(N(M6)&gt;0,M6,(G6+H6)/2)</f>
        <v/>
      </c>
      <c r="O6" s="3" t="inlineStr">
        <is>
          <t>Avis BET structure.</t>
        </is>
      </c>
    </row>
    <row r="7">
      <c r="A7" s="8" t="n"/>
      <c r="B7" s="3" t="inlineStr">
        <is>
          <t>Étude BET structure</t>
        </is>
      </c>
      <c r="C7" s="3" t="inlineStr">
        <is>
          <t>forfait</t>
        </is>
      </c>
      <c r="D7" s="13" t="n">
        <v>1</v>
      </c>
      <c r="E7" s="14" t="n">
        <v>1000</v>
      </c>
      <c r="F7" s="14" t="n">
        <v>2000</v>
      </c>
      <c r="G7" s="15">
        <f>D7*E7</f>
        <v/>
      </c>
      <c r="H7" s="15">
        <f>D7*F7</f>
        <v/>
      </c>
      <c r="I7" s="13" t="inlineStr">
        <is>
          <t>Non</t>
        </is>
      </c>
      <c r="J7" s="16" t="n">
        <v>0.5</v>
      </c>
      <c r="K7" s="15">
        <f>IF(I7="Oui",G7*J7,G7)</f>
        <v/>
      </c>
      <c r="L7" s="15">
        <f>IF(I7="Oui",H7*J7,H7)</f>
        <v/>
      </c>
      <c r="M7" s="17" t="n"/>
      <c r="N7" s="15">
        <f>IF(N(M7)&gt;0,M7,(G7+H7)/2)</f>
        <v/>
      </c>
      <c r="O7" s="3" t="inlineStr"/>
    </row>
    <row r="8">
      <c r="A8" s="8" t="n"/>
      <c r="B8" s="3" t="inlineStr">
        <is>
          <t>Escalier bois ¼ tournant sur mesure, posé</t>
        </is>
      </c>
      <c r="C8" s="3" t="inlineStr">
        <is>
          <t>u</t>
        </is>
      </c>
      <c r="D8" s="13" t="n">
        <v>1</v>
      </c>
      <c r="E8" s="14" t="n">
        <v>4000</v>
      </c>
      <c r="F8" s="14" t="n">
        <v>9000</v>
      </c>
      <c r="G8" s="15">
        <f>D8*E8</f>
        <v/>
      </c>
      <c r="H8" s="15">
        <f>D8*F8</f>
        <v/>
      </c>
      <c r="I8" s="13" t="inlineStr">
        <is>
          <t>Non</t>
        </is>
      </c>
      <c r="J8" s="16" t="n">
        <v>0.5</v>
      </c>
      <c r="K8" s="15">
        <f>IF(I8="Oui",G8*J8,G8)</f>
        <v/>
      </c>
      <c r="L8" s="15">
        <f>IF(I8="Oui",H8*J8,H8)</f>
        <v/>
      </c>
      <c r="M8" s="17" t="n"/>
      <c r="N8" s="15">
        <f>IF(N(M8)&gt;0,M8,(G8+H8)/2)</f>
        <v/>
      </c>
      <c r="O8" s="3" t="inlineStr">
        <is>
          <t>Kit à poser soi-même : 1 500 – 3 000 €.</t>
        </is>
      </c>
    </row>
    <row r="9">
      <c r="A9" s="11" t="inlineStr">
        <is>
          <t>Enveloppe / isolation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</row>
    <row r="10">
      <c r="A10" s="8" t="n"/>
      <c r="B10" s="3" t="inlineStr">
        <is>
          <t>Isolation rampants fibre de bois</t>
        </is>
      </c>
      <c r="C10" s="3" t="inlineStr">
        <is>
          <t>m²</t>
        </is>
      </c>
      <c r="D10" s="13" t="n">
        <v>100</v>
      </c>
      <c r="E10" s="14" t="n">
        <v>120</v>
      </c>
      <c r="F10" s="14" t="n">
        <v>250</v>
      </c>
      <c r="G10" s="15">
        <f>D10*E10</f>
        <v/>
      </c>
      <c r="H10" s="15">
        <f>D10*F10</f>
        <v/>
      </c>
      <c r="I10" s="13" t="inlineStr">
        <is>
          <t>Oui</t>
        </is>
      </c>
      <c r="J10" s="16" t="n">
        <v>0.55</v>
      </c>
      <c r="K10" s="15">
        <f>IF(I10="Oui",G10*J10,G10)</f>
        <v/>
      </c>
      <c r="L10" s="15">
        <f>IF(I10="Oui",H10*J10,H10)</f>
        <v/>
      </c>
      <c r="M10" s="17" t="n"/>
      <c r="N10" s="15">
        <f>IF(N(M10)&gt;0,M10,(G10+H10)/2)</f>
        <v/>
      </c>
      <c r="O10" s="3" t="inlineStr">
        <is>
          <t>Surface de rampants à métrer.</t>
        </is>
      </c>
    </row>
    <row r="11">
      <c r="A11" s="8" t="n"/>
      <c r="B11" s="3" t="inlineStr">
        <is>
          <t>Velux 78×98 posés + raccords</t>
        </is>
      </c>
      <c r="C11" s="3" t="inlineStr">
        <is>
          <t>u</t>
        </is>
      </c>
      <c r="D11" s="13" t="n">
        <v>4</v>
      </c>
      <c r="E11" s="14" t="n">
        <v>1000</v>
      </c>
      <c r="F11" s="14" t="n">
        <v>1600</v>
      </c>
      <c r="G11" s="15">
        <f>D11*E11</f>
        <v/>
      </c>
      <c r="H11" s="15">
        <f>D11*F11</f>
        <v/>
      </c>
      <c r="I11" s="13" t="inlineStr">
        <is>
          <t>Non</t>
        </is>
      </c>
      <c r="J11" s="16" t="n">
        <v>0.6</v>
      </c>
      <c r="K11" s="15">
        <f>IF(I11="Oui",G11*J11,G11)</f>
        <v/>
      </c>
      <c r="L11" s="15">
        <f>IF(I11="Oui",H11*J11,H11)</f>
        <v/>
      </c>
      <c r="M11" s="17" t="n"/>
      <c r="N11" s="15">
        <f>IF(N(M11)&gt;0,M11,(G11+H11)/2)</f>
        <v/>
      </c>
      <c r="O11" s="3" t="inlineStr">
        <is>
          <t>Étanchéité : à confier à un pro.</t>
        </is>
      </c>
    </row>
    <row r="12">
      <c r="A12" s="8" t="n"/>
      <c r="B12" s="3" t="inlineStr">
        <is>
          <t>Velux 55×78 posé (dégagement)</t>
        </is>
      </c>
      <c r="C12" s="3" t="inlineStr">
        <is>
          <t>u</t>
        </is>
      </c>
      <c r="D12" s="13" t="n">
        <v>1</v>
      </c>
      <c r="E12" s="14" t="n">
        <v>800</v>
      </c>
      <c r="F12" s="14" t="n">
        <v>1300</v>
      </c>
      <c r="G12" s="15">
        <f>D12*E12</f>
        <v/>
      </c>
      <c r="H12" s="15">
        <f>D12*F12</f>
        <v/>
      </c>
      <c r="I12" s="13" t="inlineStr">
        <is>
          <t>Non</t>
        </is>
      </c>
      <c r="J12" s="16" t="n">
        <v>0.6</v>
      </c>
      <c r="K12" s="15">
        <f>IF(I12="Oui",G12*J12,G12)</f>
        <v/>
      </c>
      <c r="L12" s="15">
        <f>IF(I12="Oui",H12*J12,H12)</f>
        <v/>
      </c>
      <c r="M12" s="17" t="n"/>
      <c r="N12" s="15">
        <f>IF(N(M12)&gt;0,M12,(G12+H12)/2)</f>
        <v/>
      </c>
      <c r="O12" s="3" t="inlineStr"/>
    </row>
    <row r="13">
      <c r="A13" s="8" t="n"/>
      <c r="B13" s="3" t="inlineStr">
        <is>
          <t>Doublage murs pisé (lame d'air + isolant perspirant + placo)</t>
        </is>
      </c>
      <c r="C13" s="3" t="inlineStr">
        <is>
          <t>m²</t>
        </is>
      </c>
      <c r="D13" s="13" t="n">
        <v>70</v>
      </c>
      <c r="E13" s="14" t="n">
        <v>75</v>
      </c>
      <c r="F13" s="14" t="n">
        <v>130</v>
      </c>
      <c r="G13" s="15">
        <f>D13*E13</f>
        <v/>
      </c>
      <c r="H13" s="15">
        <f>D13*F13</f>
        <v/>
      </c>
      <c r="I13" s="13" t="inlineStr">
        <is>
          <t>Oui</t>
        </is>
      </c>
      <c r="J13" s="16" t="n">
        <v>0.5</v>
      </c>
      <c r="K13" s="15">
        <f>IF(I13="Oui",G13*J13,G13)</f>
        <v/>
      </c>
      <c r="L13" s="15">
        <f>IF(I13="Oui",H13*J13,H13)</f>
        <v/>
      </c>
      <c r="M13" s="17" t="n"/>
      <c r="N13" s="15">
        <f>IF(N(M13)&gt;0,M13,(G13+H13)/2)</f>
        <v/>
      </c>
      <c r="O13" s="3" t="inlineStr">
        <is>
          <t>Pas de pare-vapeur étanche.</t>
        </is>
      </c>
    </row>
    <row r="14">
      <c r="A14" s="11" t="inlineStr">
        <is>
          <t>Cloisons / plafonds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</row>
    <row r="15">
      <c r="A15" s="8" t="n"/>
      <c r="B15" s="3" t="inlineStr">
        <is>
          <t>Cloisons placo 72/48 + laine (dont 2 en 10 cm galandage)</t>
        </is>
      </c>
      <c r="C15" s="3" t="inlineStr">
        <is>
          <t>m²</t>
        </is>
      </c>
      <c r="D15" s="13" t="n">
        <v>75</v>
      </c>
      <c r="E15" s="14" t="n">
        <v>55</v>
      </c>
      <c r="F15" s="14" t="n">
        <v>90</v>
      </c>
      <c r="G15" s="15">
        <f>D15*E15</f>
        <v/>
      </c>
      <c r="H15" s="15">
        <f>D15*F15</f>
        <v/>
      </c>
      <c r="I15" s="13" t="inlineStr">
        <is>
          <t>Oui</t>
        </is>
      </c>
      <c r="J15" s="16" t="n">
        <v>0.45</v>
      </c>
      <c r="K15" s="15">
        <f>IF(I15="Oui",G15*J15,G15)</f>
        <v/>
      </c>
      <c r="L15" s="15">
        <f>IF(I15="Oui",H15*J15,H15)</f>
        <v/>
      </c>
      <c r="M15" s="17" t="n"/>
      <c r="N15" s="15">
        <f>IF(N(M15)&gt;0,M15,(G15+H15)/2)</f>
        <v/>
      </c>
      <c r="O15" s="3" t="inlineStr"/>
    </row>
    <row r="16">
      <c r="A16" s="8" t="n"/>
      <c r="B16" s="3" t="inlineStr">
        <is>
          <t>Finition plafonds / habillage sous rampant</t>
        </is>
      </c>
      <c r="C16" s="3" t="inlineStr">
        <is>
          <t>m²</t>
        </is>
      </c>
      <c r="D16" s="13" t="n">
        <v>100</v>
      </c>
      <c r="E16" s="14" t="n">
        <v>40</v>
      </c>
      <c r="F16" s="14" t="n">
        <v>70</v>
      </c>
      <c r="G16" s="15">
        <f>D16*E16</f>
        <v/>
      </c>
      <c r="H16" s="15">
        <f>D16*F16</f>
        <v/>
      </c>
      <c r="I16" s="13" t="inlineStr">
        <is>
          <t>Oui</t>
        </is>
      </c>
      <c r="J16" s="16" t="n">
        <v>0.45</v>
      </c>
      <c r="K16" s="15">
        <f>IF(I16="Oui",G16*J16,G16)</f>
        <v/>
      </c>
      <c r="L16" s="15">
        <f>IF(I16="Oui",H16*J16,H16)</f>
        <v/>
      </c>
      <c r="M16" s="17" t="n"/>
      <c r="N16" s="15">
        <f>IF(N(M16)&gt;0,M16,(G16+H16)/2)</f>
        <v/>
      </c>
      <c r="O16" s="3" t="inlineStr"/>
    </row>
    <row r="17">
      <c r="A17" s="11" t="inlineStr">
        <is>
          <t>Plomberie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</row>
    <row r="18">
      <c r="A18" s="8" t="n"/>
      <c r="B18" s="3" t="inlineStr">
        <is>
          <t>Salle d'eau complète (douche 120×80, vasque, sèche-serviettes)</t>
        </is>
      </c>
      <c r="C18" s="3" t="inlineStr">
        <is>
          <t>u</t>
        </is>
      </c>
      <c r="D18" s="13" t="n">
        <v>4</v>
      </c>
      <c r="E18" s="14" t="n">
        <v>5000</v>
      </c>
      <c r="F18" s="14" t="n">
        <v>9000</v>
      </c>
      <c r="G18" s="15">
        <f>D18*E18</f>
        <v/>
      </c>
      <c r="H18" s="15">
        <f>D18*F18</f>
        <v/>
      </c>
      <c r="I18" s="13" t="inlineStr">
        <is>
          <t>Non</t>
        </is>
      </c>
      <c r="J18" s="16" t="n">
        <v>0.5</v>
      </c>
      <c r="K18" s="15">
        <f>IF(I18="Oui",G18*J18,G18)</f>
        <v/>
      </c>
      <c r="L18" s="15">
        <f>IF(I18="Oui",H18*J18,H18)</f>
        <v/>
      </c>
      <c r="M18" s="17" t="n"/>
      <c r="N18" s="15">
        <f>IF(N(M18)&gt;0,M18,(G18+H18)/2)</f>
        <v/>
      </c>
      <c r="O18" s="3" t="inlineStr">
        <is>
          <t>Poste le plus lourd.</t>
        </is>
      </c>
    </row>
    <row r="19">
      <c r="A19" s="8" t="n"/>
      <c r="B19" s="3" t="inlineStr">
        <is>
          <t>WC suspendu + lave-mains</t>
        </is>
      </c>
      <c r="C19" s="3" t="inlineStr">
        <is>
          <t>u</t>
        </is>
      </c>
      <c r="D19" s="13" t="n">
        <v>1</v>
      </c>
      <c r="E19" s="14" t="n">
        <v>1500</v>
      </c>
      <c r="F19" s="14" t="n">
        <v>3000</v>
      </c>
      <c r="G19" s="15">
        <f>D19*E19</f>
        <v/>
      </c>
      <c r="H19" s="15">
        <f>D19*F19</f>
        <v/>
      </c>
      <c r="I19" s="13" t="inlineStr">
        <is>
          <t>Non</t>
        </is>
      </c>
      <c r="J19" s="16" t="n">
        <v>0.5</v>
      </c>
      <c r="K19" s="15">
        <f>IF(I19="Oui",G19*J19,G19)</f>
        <v/>
      </c>
      <c r="L19" s="15">
        <f>IF(I19="Oui",H19*J19,H19)</f>
        <v/>
      </c>
      <c r="M19" s="17" t="n"/>
      <c r="N19" s="15">
        <f>IF(N(M19)&gt;0,M19,(G19+H19)/2)</f>
        <v/>
      </c>
      <c r="O19" s="3" t="inlineStr"/>
    </row>
    <row r="20">
      <c r="A20" s="8" t="n"/>
      <c r="B20" s="3" t="inlineStr">
        <is>
          <t>Réseaux alimentation / évacuations / chutes</t>
        </is>
      </c>
      <c r="C20" s="3" t="inlineStr">
        <is>
          <t>forfait</t>
        </is>
      </c>
      <c r="D20" s="13" t="n">
        <v>1</v>
      </c>
      <c r="E20" s="14" t="n">
        <v>500</v>
      </c>
      <c r="F20" s="14" t="n">
        <v>1000</v>
      </c>
      <c r="G20" s="15">
        <f>D20*E20</f>
        <v/>
      </c>
      <c r="H20" s="15">
        <f>D20*F20</f>
        <v/>
      </c>
      <c r="I20" s="13" t="inlineStr">
        <is>
          <t>Non</t>
        </is>
      </c>
      <c r="J20" s="16" t="n">
        <v>0.5</v>
      </c>
      <c r="K20" s="15">
        <f>IF(I20="Oui",G20*J20,G20)</f>
        <v/>
      </c>
      <c r="L20" s="15">
        <f>IF(I20="Oui",H20*J20,H20)</f>
        <v/>
      </c>
      <c r="M20" s="17" t="n"/>
      <c r="N20" s="15">
        <f>IF(N(M20)&gt;0,M20,(G20+H20)/2)</f>
        <v/>
      </c>
      <c r="O20" s="3" t="inlineStr">
        <is>
          <t>2 descentes (Est et Ouest).</t>
        </is>
      </c>
    </row>
    <row r="21">
      <c r="A21" s="8" t="n"/>
      <c r="B21" s="3" t="inlineStr">
        <is>
          <t>Production eau chaude (ballon 200-300 L)</t>
        </is>
      </c>
      <c r="C21" s="3" t="inlineStr">
        <is>
          <t>u</t>
        </is>
      </c>
      <c r="D21" s="13" t="n">
        <v>1</v>
      </c>
      <c r="E21" s="14" t="n">
        <v>2000</v>
      </c>
      <c r="F21" s="14" t="n">
        <v>4000</v>
      </c>
      <c r="G21" s="15">
        <f>D21*E21</f>
        <v/>
      </c>
      <c r="H21" s="15">
        <f>D21*F21</f>
        <v/>
      </c>
      <c r="I21" s="13" t="inlineStr">
        <is>
          <t>Non</t>
        </is>
      </c>
      <c r="J21" s="16" t="n">
        <v>0.6</v>
      </c>
      <c r="K21" s="15">
        <f>IF(I21="Oui",G21*J21,G21)</f>
        <v/>
      </c>
      <c r="L21" s="15">
        <f>IF(I21="Oui",H21*J21,H21)</f>
        <v/>
      </c>
      <c r="M21" s="17" t="n"/>
      <c r="N21" s="15">
        <f>IF(N(M21)&gt;0,M21,(G21+H21)/2)</f>
        <v/>
      </c>
      <c r="O21" s="3" t="inlineStr">
        <is>
          <t>Thermodynamique = haut de fourchette.</t>
        </is>
      </c>
    </row>
    <row r="22">
      <c r="A22" s="11" t="inlineStr">
        <is>
          <t>Électricité / ventilation / chauffage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</row>
    <row r="23">
      <c r="A23" s="8" t="n"/>
      <c r="B23" s="3" t="inlineStr">
        <is>
          <t>Électricité neuve NF C 15-100</t>
        </is>
      </c>
      <c r="C23" s="3" t="inlineStr">
        <is>
          <t>m²</t>
        </is>
      </c>
      <c r="D23" s="13" t="n">
        <v>77</v>
      </c>
      <c r="E23" s="14" t="n">
        <v>80</v>
      </c>
      <c r="F23" s="14" t="n">
        <v>130</v>
      </c>
      <c r="G23" s="15">
        <f>D23*E23</f>
        <v/>
      </c>
      <c r="H23" s="15">
        <f>D23*F23</f>
        <v/>
      </c>
      <c r="I23" s="13" t="inlineStr">
        <is>
          <t>Non</t>
        </is>
      </c>
      <c r="J23" s="16" t="n">
        <v>0.4</v>
      </c>
      <c r="K23" s="15">
        <f>IF(I23="Oui",G23*J23,G23)</f>
        <v/>
      </c>
      <c r="L23" s="15">
        <f>IF(I23="Oui",H23*J23,H23)</f>
        <v/>
      </c>
      <c r="M23" s="17" t="n"/>
      <c r="N23" s="15">
        <f>IF(N(M23)&gt;0,M23,(G23+H23)/2)</f>
        <v/>
      </c>
      <c r="O23" s="3" t="inlineStr"/>
    </row>
    <row r="24">
      <c r="A24" s="8" t="n"/>
      <c r="B24" s="3" t="inlineStr">
        <is>
          <t>VMC hygro B (4 SdE + WC)</t>
        </is>
      </c>
      <c r="C24" s="3" t="inlineStr">
        <is>
          <t>u</t>
        </is>
      </c>
      <c r="D24" s="13" t="n">
        <v>1</v>
      </c>
      <c r="E24" s="14" t="n">
        <v>1500</v>
      </c>
      <c r="F24" s="14" t="n">
        <v>3000</v>
      </c>
      <c r="G24" s="15">
        <f>D24*E24</f>
        <v/>
      </c>
      <c r="H24" s="15">
        <f>D24*F24</f>
        <v/>
      </c>
      <c r="I24" s="13" t="inlineStr">
        <is>
          <t>Non</t>
        </is>
      </c>
      <c r="J24" s="16" t="n">
        <v>0.5</v>
      </c>
      <c r="K24" s="15">
        <f>IF(I24="Oui",G24*J24,G24)</f>
        <v/>
      </c>
      <c r="L24" s="15">
        <f>IF(I24="Oui",H24*J24,H24)</f>
        <v/>
      </c>
      <c r="M24" s="17" t="n"/>
      <c r="N24" s="15">
        <f>IF(N(M24)&gt;0,M24,(G24+H24)/2)</f>
        <v/>
      </c>
      <c r="O24" s="3" t="inlineStr">
        <is>
          <t>Obligatoire : SdE et WC sans ouvrant.</t>
        </is>
      </c>
    </row>
    <row r="25">
      <c r="A25" s="8" t="n"/>
      <c r="B25" s="3" t="inlineStr">
        <is>
          <t>Chauffage (radiateurs inertie ou PAC air/air)</t>
        </is>
      </c>
      <c r="C25" s="3" t="inlineStr">
        <is>
          <t>forfait</t>
        </is>
      </c>
      <c r="D25" s="13" t="n">
        <v>1</v>
      </c>
      <c r="E25" s="14" t="n">
        <v>4000</v>
      </c>
      <c r="F25" s="14" t="n">
        <v>12000</v>
      </c>
      <c r="G25" s="15">
        <f>D25*E25</f>
        <v/>
      </c>
      <c r="H25" s="15">
        <f>D25*F25</f>
        <v/>
      </c>
      <c r="I25" s="13" t="inlineStr">
        <is>
          <t>Non</t>
        </is>
      </c>
      <c r="J25" s="16" t="n">
        <v>0.6</v>
      </c>
      <c r="K25" s="15">
        <f>IF(I25="Oui",G25*J25,G25)</f>
        <v/>
      </c>
      <c r="L25" s="15">
        <f>IF(I25="Oui",H25*J25,H25)</f>
        <v/>
      </c>
      <c r="M25" s="17" t="n"/>
      <c r="N25" s="15">
        <f>IF(N(M25)&gt;0,M25,(G25+H25)/2)</f>
        <v/>
      </c>
      <c r="O25" s="3" t="inlineStr"/>
    </row>
    <row r="26">
      <c r="A26" s="11" t="inlineStr">
        <is>
          <t>Menuiseries intérieures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</row>
    <row r="27">
      <c r="A27" s="8" t="n"/>
      <c r="B27" s="3" t="inlineStr">
        <is>
          <t>Portes battantes posées</t>
        </is>
      </c>
      <c r="C27" s="3" t="inlineStr">
        <is>
          <t>u</t>
        </is>
      </c>
      <c r="D27" s="13" t="n">
        <v>7</v>
      </c>
      <c r="E27" s="14" t="n">
        <v>300</v>
      </c>
      <c r="F27" s="14" t="n">
        <v>550</v>
      </c>
      <c r="G27" s="15">
        <f>D27*E27</f>
        <v/>
      </c>
      <c r="H27" s="15">
        <f>D27*F27</f>
        <v/>
      </c>
      <c r="I27" s="13" t="inlineStr">
        <is>
          <t>Oui</t>
        </is>
      </c>
      <c r="J27" s="16" t="n">
        <v>0.6</v>
      </c>
      <c r="K27" s="15">
        <f>IF(I27="Oui",G27*J27,G27)</f>
        <v/>
      </c>
      <c r="L27" s="15">
        <f>IF(I27="Oui",H27*J27,H27)</f>
        <v/>
      </c>
      <c r="M27" s="17" t="n"/>
      <c r="N27" s="15">
        <f>IF(N(M27)&gt;0,M27,(G27+H27)/2)</f>
        <v/>
      </c>
      <c r="O27" s="3" t="inlineStr">
        <is>
          <t>4 chambres, SdE 3-4, WC.</t>
        </is>
      </c>
    </row>
    <row r="28">
      <c r="A28" s="8" t="n"/>
      <c r="B28" s="3" t="inlineStr">
        <is>
          <t>Portes à galandage (SdE 1-2) avec caisson</t>
        </is>
      </c>
      <c r="C28" s="3" t="inlineStr">
        <is>
          <t>u</t>
        </is>
      </c>
      <c r="D28" s="13" t="n">
        <v>2</v>
      </c>
      <c r="E28" s="14" t="n">
        <v>700</v>
      </c>
      <c r="F28" s="14" t="n">
        <v>1200</v>
      </c>
      <c r="G28" s="15">
        <f>D28*E28</f>
        <v/>
      </c>
      <c r="H28" s="15">
        <f>D28*F28</f>
        <v/>
      </c>
      <c r="I28" s="13" t="inlineStr">
        <is>
          <t>Oui</t>
        </is>
      </c>
      <c r="J28" s="16" t="n">
        <v>0.6</v>
      </c>
      <c r="K28" s="15">
        <f>IF(I28="Oui",G28*J28,G28)</f>
        <v/>
      </c>
      <c r="L28" s="15">
        <f>IF(I28="Oui",H28*J28,H28)</f>
        <v/>
      </c>
      <c r="M28" s="17" t="n"/>
      <c r="N28" s="15">
        <f>IF(N(M28)&gt;0,M28,(G28+H28)/2)</f>
        <v/>
      </c>
      <c r="O28" s="3" t="inlineStr"/>
    </row>
    <row r="29">
      <c r="A29" s="8" t="n"/>
      <c r="B29" s="3" t="inlineStr">
        <is>
          <t>Façades rangements sous rampant</t>
        </is>
      </c>
      <c r="C29" s="3" t="inlineStr">
        <is>
          <t>u</t>
        </is>
      </c>
      <c r="D29" s="13" t="n">
        <v>2</v>
      </c>
      <c r="E29" s="14" t="n">
        <v>300</v>
      </c>
      <c r="F29" s="14" t="n">
        <v>700</v>
      </c>
      <c r="G29" s="15">
        <f>D29*E29</f>
        <v/>
      </c>
      <c r="H29" s="15">
        <f>D29*F29</f>
        <v/>
      </c>
      <c r="I29" s="13" t="inlineStr">
        <is>
          <t>Oui</t>
        </is>
      </c>
      <c r="J29" s="16" t="n">
        <v>0.6</v>
      </c>
      <c r="K29" s="15">
        <f>IF(I29="Oui",G29*J29,G29)</f>
        <v/>
      </c>
      <c r="L29" s="15">
        <f>IF(I29="Oui",H29*J29,H29)</f>
        <v/>
      </c>
      <c r="M29" s="17" t="n"/>
      <c r="N29" s="15">
        <f>IF(N(M29)&gt;0,M29,(G29+H29)/2)</f>
        <v/>
      </c>
      <c r="O29" s="3" t="inlineStr"/>
    </row>
    <row r="30">
      <c r="A30" s="11" t="inlineStr">
        <is>
          <t>Revêtements / finitions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</row>
    <row r="31">
      <c r="A31" s="8" t="n"/>
      <c r="B31" s="3" t="inlineStr">
        <is>
          <t>Parquet chambres + dégagement</t>
        </is>
      </c>
      <c r="C31" s="3" t="inlineStr">
        <is>
          <t>m²</t>
        </is>
      </c>
      <c r="D31" s="13" t="n">
        <v>51</v>
      </c>
      <c r="E31" s="14" t="n">
        <v>45</v>
      </c>
      <c r="F31" s="14" t="n">
        <v>90</v>
      </c>
      <c r="G31" s="15">
        <f>D31*E31</f>
        <v/>
      </c>
      <c r="H31" s="15">
        <f>D31*F31</f>
        <v/>
      </c>
      <c r="I31" s="13" t="inlineStr">
        <is>
          <t>Oui</t>
        </is>
      </c>
      <c r="J31" s="16" t="n">
        <v>0.6</v>
      </c>
      <c r="K31" s="15">
        <f>IF(I31="Oui",G31*J31,G31)</f>
        <v/>
      </c>
      <c r="L31" s="15">
        <f>IF(I31="Oui",H31*J31,H31)</f>
        <v/>
      </c>
      <c r="M31" s="17" t="n"/>
      <c r="N31" s="15">
        <f>IF(N(M31)&gt;0,M31,(G31+H31)/2)</f>
        <v/>
      </c>
      <c r="O31" s="3" t="inlineStr"/>
    </row>
    <row r="32">
      <c r="A32" s="8" t="n"/>
      <c r="B32" s="3" t="inlineStr">
        <is>
          <t>Carrelage sols SdE + WC</t>
        </is>
      </c>
      <c r="C32" s="3" t="inlineStr">
        <is>
          <t>m²</t>
        </is>
      </c>
      <c r="D32" s="13" t="n">
        <v>14</v>
      </c>
      <c r="E32" s="14" t="n">
        <v>70</v>
      </c>
      <c r="F32" s="14" t="n">
        <v>130</v>
      </c>
      <c r="G32" s="15">
        <f>D32*E32</f>
        <v/>
      </c>
      <c r="H32" s="15">
        <f>D32*F32</f>
        <v/>
      </c>
      <c r="I32" s="13" t="inlineStr">
        <is>
          <t>Oui</t>
        </is>
      </c>
      <c r="J32" s="16" t="n">
        <v>0.5</v>
      </c>
      <c r="K32" s="15">
        <f>IF(I32="Oui",G32*J32,G32)</f>
        <v/>
      </c>
      <c r="L32" s="15">
        <f>IF(I32="Oui",H32*J32,H32)</f>
        <v/>
      </c>
      <c r="M32" s="17" t="n"/>
      <c r="N32" s="15">
        <f>IF(N(M32)&gt;0,M32,(G32+H32)/2)</f>
        <v/>
      </c>
      <c r="O32" s="3" t="inlineStr"/>
    </row>
    <row r="33">
      <c r="A33" s="8" t="n"/>
      <c r="B33" s="3" t="inlineStr">
        <is>
          <t>Faïence murale SdE</t>
        </is>
      </c>
      <c r="C33" s="3" t="inlineStr">
        <is>
          <t>m²</t>
        </is>
      </c>
      <c r="D33" s="13" t="n">
        <v>40</v>
      </c>
      <c r="E33" s="14" t="n">
        <v>70</v>
      </c>
      <c r="F33" s="14" t="n">
        <v>130</v>
      </c>
      <c r="G33" s="15">
        <f>D33*E33</f>
        <v/>
      </c>
      <c r="H33" s="15">
        <f>D33*F33</f>
        <v/>
      </c>
      <c r="I33" s="13" t="inlineStr">
        <is>
          <t>Oui</t>
        </is>
      </c>
      <c r="J33" s="16" t="n">
        <v>0.5</v>
      </c>
      <c r="K33" s="15">
        <f>IF(I33="Oui",G33*J33,G33)</f>
        <v/>
      </c>
      <c r="L33" s="15">
        <f>IF(I33="Oui",H33*J33,H33)</f>
        <v/>
      </c>
      <c r="M33" s="17" t="n"/>
      <c r="N33" s="15">
        <f>IF(N(M33)&gt;0,M33,(G33+H33)/2)</f>
        <v/>
      </c>
      <c r="O33" s="3" t="inlineStr"/>
    </row>
    <row r="34">
      <c r="A34" s="8" t="n"/>
      <c r="B34" s="3" t="inlineStr">
        <is>
          <t>Peinture murs + plafonds</t>
        </is>
      </c>
      <c r="C34" s="3" t="inlineStr">
        <is>
          <t>m²</t>
        </is>
      </c>
      <c r="D34" s="13" t="n">
        <v>300</v>
      </c>
      <c r="E34" s="14" t="n">
        <v>20</v>
      </c>
      <c r="F34" s="14" t="n">
        <v>33</v>
      </c>
      <c r="G34" s="15">
        <f>D34*E34</f>
        <v/>
      </c>
      <c r="H34" s="15">
        <f>D34*F34</f>
        <v/>
      </c>
      <c r="I34" s="13" t="inlineStr">
        <is>
          <t>Oui</t>
        </is>
      </c>
      <c r="J34" s="16" t="n">
        <v>0.25</v>
      </c>
      <c r="K34" s="15">
        <f>IF(I34="Oui",G34*J34,G34)</f>
        <v/>
      </c>
      <c r="L34" s="15">
        <f>IF(I34="Oui",H34*J34,H34)</f>
        <v/>
      </c>
      <c r="M34" s="17" t="n"/>
      <c r="N34" s="15">
        <f>IF(N(M34)&gt;0,M34,(G34+H34)/2)</f>
        <v/>
      </c>
      <c r="O34" s="3" t="inlineStr"/>
    </row>
    <row r="36">
      <c r="B36" s="18" t="inlineStr">
        <is>
          <t>Sous-total travaux</t>
        </is>
      </c>
      <c r="G36" s="19">
        <f>SUM(G5:G34)</f>
        <v/>
      </c>
      <c r="H36" s="19">
        <f>SUM(H5:H34)</f>
        <v/>
      </c>
      <c r="K36" s="19">
        <f>SUM(K5:K34)</f>
        <v/>
      </c>
      <c r="L36" s="19">
        <f>SUM(L5:L34)</f>
        <v/>
      </c>
      <c r="N36" s="19">
        <f>SUM(N5:N34)</f>
        <v/>
      </c>
    </row>
    <row r="37">
      <c r="B37" s="20" t="inlineStr">
        <is>
          <t>Imprévus</t>
        </is>
      </c>
      <c r="G37" s="21">
        <f>G36*Paramètres!$B$4</f>
        <v/>
      </c>
      <c r="H37" s="21">
        <f>H36*Paramètres!$B$4</f>
        <v/>
      </c>
      <c r="K37" s="21">
        <f>K36*Paramètres!$B$4</f>
        <v/>
      </c>
      <c r="L37" s="21">
        <f>L36*Paramètres!$B$4</f>
        <v/>
      </c>
      <c r="N37" s="21">
        <f>N36*Paramètres!$B$4</f>
        <v/>
      </c>
    </row>
    <row r="38">
      <c r="B38" s="20" t="inlineStr">
        <is>
          <t>Maîtrise d'œuvre</t>
        </is>
      </c>
      <c r="G38" s="21">
        <f>G36*Paramètres!$B$5</f>
        <v/>
      </c>
      <c r="H38" s="21">
        <f>H36*Paramètres!$B$5</f>
        <v/>
      </c>
      <c r="K38" s="21">
        <f>K36*Paramètres!$B$5</f>
        <v/>
      </c>
      <c r="L38" s="21">
        <f>L36*Paramètres!$B$5</f>
        <v/>
      </c>
      <c r="N38" s="21">
        <f>N36*Paramètres!$B$5</f>
        <v/>
      </c>
    </row>
    <row r="39">
      <c r="A39" s="22" t="n"/>
      <c r="B39" s="23" t="inlineStr">
        <is>
          <t>TOTAL ÉTAGE TTC</t>
        </is>
      </c>
      <c r="C39" s="22" t="n"/>
      <c r="D39" s="22" t="n"/>
      <c r="E39" s="22" t="n"/>
      <c r="F39" s="22" t="n"/>
      <c r="G39" s="24">
        <f>G36+G37+G38</f>
        <v/>
      </c>
      <c r="H39" s="24">
        <f>H36+H37+H38</f>
        <v/>
      </c>
      <c r="I39" s="22" t="n"/>
      <c r="J39" s="22" t="n"/>
      <c r="K39" s="24">
        <f>K36+K37+K38</f>
        <v/>
      </c>
      <c r="L39" s="24">
        <f>L36+L37+L38</f>
        <v/>
      </c>
      <c r="M39" s="22" t="n"/>
      <c r="N39" s="24">
        <f>N36+N37+N38</f>
        <v/>
      </c>
      <c r="O39" s="22" t="n"/>
    </row>
    <row r="40">
      <c r="B40" s="20" t="inlineStr">
        <is>
          <t>Soit par m² (77 m²)</t>
        </is>
      </c>
      <c r="G40" s="25">
        <f>G39/77</f>
        <v/>
      </c>
      <c r="H40" s="25">
        <f>H39/77</f>
        <v/>
      </c>
      <c r="K40" s="25">
        <f>K39/77</f>
        <v/>
      </c>
      <c r="L40" s="25">
        <f>L39/77</f>
        <v/>
      </c>
      <c r="N40" s="25">
        <f>N39/77</f>
        <v/>
      </c>
    </row>
    <row r="42">
      <c r="B42" s="10" t="inlineStr">
        <is>
          <t>Lecture : « Total min / max » = fourchette entreprise. « Auto min / max » = coût si vous réalisez vous-même les postes marqués « Oui »</t>
        </is>
      </c>
    </row>
    <row r="43">
      <c r="B43" s="10" t="inlineStr">
        <is>
          <t>(vous ne payez alors que la part matériaux). « Montant retenu » = devis reçu s'il est saisi, sinon la moyenne min/max.</t>
        </is>
      </c>
    </row>
    <row r="44">
      <c r="B44" s="10" t="inlineStr">
        <is>
          <t>Source : estimations indicatives de prix moyens du marché (ordre de grandeur), à remplacer par les devis d'artisans.</t>
        </is>
      </c>
    </row>
  </sheetData>
  <dataValidations count="1">
    <dataValidation sqref="I6 I7 I8 I10 I11 I12 I13 I15 I16 I18 I19 I20 I21 I23 I24 I25 I27 I28 I29 I31 I32 I33 I34" showDropDown="0" showInputMessage="0" showErrorMessage="0" allowBlank="0" type="list">
      <formula1>"Oui,Non"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2" customWidth="1" min="2" max="2"/>
    <col width="8" customWidth="1" min="3" max="3"/>
    <col width="7" customWidth="1" min="4" max="4"/>
    <col width="11" customWidth="1" min="5" max="5"/>
    <col width="11" customWidth="1" min="6" max="6"/>
    <col width="13" customWidth="1" min="7" max="7"/>
    <col width="13" customWidth="1" min="8" max="8"/>
    <col width="11" customWidth="1" min="9" max="9"/>
    <col width="10" customWidth="1" min="10" max="10"/>
    <col width="13" customWidth="1" min="11" max="11"/>
    <col width="13" customWidth="1" min="12" max="12"/>
    <col width="13" customWidth="1" min="13" max="13"/>
    <col width="15" customWidth="1" min="14" max="14"/>
    <col width="44" customWidth="1" min="15" max="15"/>
  </cols>
  <sheetData>
    <row r="1">
      <c r="A1" s="1" t="inlineStr">
        <is>
          <t>La Marinka — Budget estimatif travaux du rez-de-chaussée (77 m²)</t>
        </is>
      </c>
    </row>
    <row r="2">
      <c r="A2" s="10" t="inlineStr">
        <is>
          <t>Prix TTC indicatifs (marché France 2025-2026, entreprise), travaux seuls sans ameublement. Cellules en BLEU = à ajuster ; colonne JAUNE « Devis reçu » = à remplir au fil des devis.</t>
        </is>
      </c>
    </row>
    <row r="4" ht="32" customHeight="1">
      <c r="A4" s="2" t="inlineStr">
        <is>
          <t>Lot</t>
        </is>
      </c>
      <c r="B4" s="2" t="inlineStr">
        <is>
          <t>Poste</t>
        </is>
      </c>
      <c r="C4" s="2" t="inlineStr">
        <is>
          <t>Unité</t>
        </is>
      </c>
      <c r="D4" s="2" t="inlineStr">
        <is>
          <t>Qté</t>
        </is>
      </c>
      <c r="E4" s="2" t="inlineStr">
        <is>
          <t>PU min €</t>
        </is>
      </c>
      <c r="F4" s="2" t="inlineStr">
        <is>
          <t>PU max €</t>
        </is>
      </c>
      <c r="G4" s="2" t="inlineStr">
        <is>
          <t>Total min €</t>
        </is>
      </c>
      <c r="H4" s="2" t="inlineStr">
        <is>
          <t>Total max €</t>
        </is>
      </c>
      <c r="I4" s="2" t="inlineStr">
        <is>
          <t>Faisable soi-même</t>
        </is>
      </c>
      <c r="J4" s="2" t="inlineStr">
        <is>
          <t>Part matériaux</t>
        </is>
      </c>
      <c r="K4" s="2" t="inlineStr">
        <is>
          <t>Auto min €</t>
        </is>
      </c>
      <c r="L4" s="2" t="inlineStr">
        <is>
          <t>Auto max €</t>
        </is>
      </c>
      <c r="M4" s="2" t="inlineStr">
        <is>
          <t>Devis reçu €</t>
        </is>
      </c>
      <c r="N4" s="2" t="inlineStr">
        <is>
          <t>Montant retenu €</t>
        </is>
      </c>
      <c r="O4" s="2" t="inlineStr">
        <is>
          <t>Commentaire</t>
        </is>
      </c>
    </row>
    <row r="5">
      <c r="A5" s="11" t="inlineStr">
        <is>
          <t>Gros œuvre / structure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</row>
    <row r="6">
      <c r="A6" s="8" t="n"/>
      <c r="B6" s="3" t="inlineStr">
        <is>
          <t>Ouverture 4 m dans le pisé : étaiement, linteau béton ou acier, reprises</t>
        </is>
      </c>
      <c r="C6" s="3" t="inlineStr">
        <is>
          <t>forfait</t>
        </is>
      </c>
      <c r="D6" s="13" t="n">
        <v>1</v>
      </c>
      <c r="E6" s="14" t="n">
        <v>6000</v>
      </c>
      <c r="F6" s="14" t="n">
        <v>15000</v>
      </c>
      <c r="G6" s="15">
        <f>D6*E6</f>
        <v/>
      </c>
      <c r="H6" s="15">
        <f>D6*F6</f>
        <v/>
      </c>
      <c r="I6" s="13" t="inlineStr">
        <is>
          <t>Non</t>
        </is>
      </c>
      <c r="J6" s="16" t="n">
        <v>0.4</v>
      </c>
      <c r="K6" s="15">
        <f>IF(I6="Oui",G6*J6,G6)</f>
        <v/>
      </c>
      <c r="L6" s="15">
        <f>IF(I6="Oui",H6*J6,H6)</f>
        <v/>
      </c>
      <c r="M6" s="17" t="n"/>
      <c r="N6" s="15">
        <f>IF(N(M6)&gt;0,M6,(G6+H6)/2)</f>
        <v/>
      </c>
      <c r="O6" s="3" t="inlineStr">
        <is>
          <t>Intervention la plus lourde du RDC.</t>
        </is>
      </c>
    </row>
    <row r="7">
      <c r="A7" s="8" t="n"/>
      <c r="B7" s="3" t="inlineStr">
        <is>
          <t>Étude BET structure (baie 4 m)</t>
        </is>
      </c>
      <c r="C7" s="3" t="inlineStr">
        <is>
          <t>forfait</t>
        </is>
      </c>
      <c r="D7" s="13" t="n">
        <v>1</v>
      </c>
      <c r="E7" s="14" t="n">
        <v>1000</v>
      </c>
      <c r="F7" s="14" t="n">
        <v>2500</v>
      </c>
      <c r="G7" s="15">
        <f>D7*E7</f>
        <v/>
      </c>
      <c r="H7" s="15">
        <f>D7*F7</f>
        <v/>
      </c>
      <c r="I7" s="13" t="inlineStr">
        <is>
          <t>Non</t>
        </is>
      </c>
      <c r="J7" s="16" t="n">
        <v>0.5</v>
      </c>
      <c r="K7" s="15">
        <f>IF(I7="Oui",G7*J7,G7)</f>
        <v/>
      </c>
      <c r="L7" s="15">
        <f>IF(I7="Oui",H7*J7,H7)</f>
        <v/>
      </c>
      <c r="M7" s="17" t="n"/>
      <c r="N7" s="15">
        <f>IF(N(M7)&gt;0,M7,(G7+H7)/2)</f>
        <v/>
      </c>
      <c r="O7" s="3" t="inlineStr">
        <is>
          <t>Obligatoire dans le pisé.</t>
        </is>
      </c>
    </row>
    <row r="8">
      <c r="A8" s="8" t="n"/>
      <c r="B8" s="3" t="inlineStr">
        <is>
          <t>Sol : décaissement, hérisson ventilé, dalle isolée (chaux ou béton)</t>
        </is>
      </c>
      <c r="C8" s="3" t="inlineStr">
        <is>
          <t>m²</t>
        </is>
      </c>
      <c r="D8" s="13" t="n">
        <v>72</v>
      </c>
      <c r="E8" s="14" t="n">
        <v>90</v>
      </c>
      <c r="F8" s="14" t="n">
        <v>180</v>
      </c>
      <c r="G8" s="15">
        <f>D8*E8</f>
        <v/>
      </c>
      <c r="H8" s="15">
        <f>D8*F8</f>
        <v/>
      </c>
      <c r="I8" s="13" t="inlineStr">
        <is>
          <t>Non</t>
        </is>
      </c>
      <c r="J8" s="16" t="n">
        <v>0.45</v>
      </c>
      <c r="K8" s="15">
        <f>IF(I8="Oui",G8*J8,G8)</f>
        <v/>
      </c>
      <c r="L8" s="15">
        <f>IF(I8="Oui",H8*J8,H8)</f>
        <v/>
      </c>
      <c r="M8" s="17" t="n"/>
      <c r="N8" s="15">
        <f>IF(N(M8)&gt;0,M8,(G8+H8)/2)</f>
        <v/>
      </c>
      <c r="O8" s="3" t="inlineStr">
        <is>
          <t>Sol de grange brut ; dalle respirante conseillée avec le pisé.</t>
        </is>
      </c>
    </row>
    <row r="9">
      <c r="A9" s="11" t="inlineStr">
        <is>
          <t>Menuiseries extérieures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</row>
    <row r="10">
      <c r="A10" s="8" t="n"/>
      <c r="B10" s="3" t="inlineStr">
        <is>
          <t>Baie vitrée 4,00 m à galandage, 2 vantaux, posée</t>
        </is>
      </c>
      <c r="C10" s="3" t="inlineStr">
        <is>
          <t>u</t>
        </is>
      </c>
      <c r="D10" s="13" t="n">
        <v>1</v>
      </c>
      <c r="E10" s="14" t="n">
        <v>12000</v>
      </c>
      <c r="F10" s="14" t="n">
        <v>25000</v>
      </c>
      <c r="G10" s="15">
        <f>D10*E10</f>
        <v/>
      </c>
      <c r="H10" s="15">
        <f>D10*F10</f>
        <v/>
      </c>
      <c r="I10" s="13" t="inlineStr">
        <is>
          <t>Non</t>
        </is>
      </c>
      <c r="J10" s="16" t="n">
        <v>0.7</v>
      </c>
      <c r="K10" s="15">
        <f>IF(I10="Oui",G10*J10,G10)</f>
        <v/>
      </c>
      <c r="L10" s="15">
        <f>IF(I10="Oui",H10*J10,H10)</f>
        <v/>
      </c>
      <c r="M10" s="17" t="n"/>
      <c r="N10" s="15">
        <f>IF(N(M10)&gt;0,M10,(G10+H10)/2)</f>
        <v/>
      </c>
      <c r="O10" s="3" t="inlineStr">
        <is>
          <t>Alu ou bois-alu, double vitrage ; caissons compris.</t>
        </is>
      </c>
    </row>
    <row r="11">
      <c r="A11" s="8" t="n"/>
      <c r="B11" s="3" t="inlineStr">
        <is>
          <t>Seuil, bavette, raccords d'étanchéité baie</t>
        </is>
      </c>
      <c r="C11" s="3" t="inlineStr">
        <is>
          <t>forfait</t>
        </is>
      </c>
      <c r="D11" s="13" t="n">
        <v>1</v>
      </c>
      <c r="E11" s="14" t="n">
        <v>800</v>
      </c>
      <c r="F11" s="14" t="n">
        <v>2000</v>
      </c>
      <c r="G11" s="15">
        <f>D11*E11</f>
        <v/>
      </c>
      <c r="H11" s="15">
        <f>D11*F11</f>
        <v/>
      </c>
      <c r="I11" s="13" t="inlineStr">
        <is>
          <t>Non</t>
        </is>
      </c>
      <c r="J11" s="16" t="n">
        <v>0.5</v>
      </c>
      <c r="K11" s="15">
        <f>IF(I11="Oui",G11*J11,G11)</f>
        <v/>
      </c>
      <c r="L11" s="15">
        <f>IF(I11="Oui",H11*J11,H11)</f>
        <v/>
      </c>
      <c r="M11" s="17" t="n"/>
      <c r="N11" s="15">
        <f>IF(N(M11)&gt;0,M11,(G11+H11)/2)</f>
        <v/>
      </c>
      <c r="O11" s="3" t="inlineStr"/>
    </row>
    <row r="12">
      <c r="A12" s="11" t="inlineStr">
        <is>
          <t>Isolation / doublage / plafond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</row>
    <row r="13">
      <c r="A13" s="8" t="n"/>
      <c r="B13" s="3" t="inlineStr">
        <is>
          <t>Doublage murs pisé (lame d'air + isolant perspirant + placo)</t>
        </is>
      </c>
      <c r="C13" s="3" t="inlineStr">
        <is>
          <t>m²</t>
        </is>
      </c>
      <c r="D13" s="13" t="n">
        <v>79</v>
      </c>
      <c r="E13" s="14" t="n">
        <v>75</v>
      </c>
      <c r="F13" s="14" t="n">
        <v>130</v>
      </c>
      <c r="G13" s="15">
        <f>D13*E13</f>
        <v/>
      </c>
      <c r="H13" s="15">
        <f>D13*F13</f>
        <v/>
      </c>
      <c r="I13" s="13" t="inlineStr">
        <is>
          <t>Oui</t>
        </is>
      </c>
      <c r="J13" s="16" t="n">
        <v>0.5</v>
      </c>
      <c r="K13" s="15">
        <f>IF(I13="Oui",G13*J13,G13)</f>
        <v/>
      </c>
      <c r="L13" s="15">
        <f>IF(I13="Oui",H13*J13,H13)</f>
        <v/>
      </c>
      <c r="M13" s="17" t="n"/>
      <c r="N13" s="15">
        <f>IF(N(M13)&gt;0,M13,(G13+H13)/2)</f>
        <v/>
      </c>
      <c r="O13" s="3" t="inlineStr">
        <is>
          <t>Périmètre 34 m × 2,60 m − baie.</t>
        </is>
      </c>
    </row>
    <row r="14">
      <c r="A14" s="8" t="n"/>
      <c r="B14" s="3" t="inlineStr">
        <is>
          <t>Doublage épaissi au droit des caissons galandage</t>
        </is>
      </c>
      <c r="C14" s="3" t="inlineStr">
        <is>
          <t>ml</t>
        </is>
      </c>
      <c r="D14" s="13" t="n">
        <v>4</v>
      </c>
      <c r="E14" s="14" t="n">
        <v>150</v>
      </c>
      <c r="F14" s="14" t="n">
        <v>300</v>
      </c>
      <c r="G14" s="15">
        <f>D14*E14</f>
        <v/>
      </c>
      <c r="H14" s="15">
        <f>D14*F14</f>
        <v/>
      </c>
      <c r="I14" s="13" t="inlineStr">
        <is>
          <t>Oui</t>
        </is>
      </c>
      <c r="J14" s="16" t="n">
        <v>0.5</v>
      </c>
      <c r="K14" s="15">
        <f>IF(I14="Oui",G14*J14,G14)</f>
        <v/>
      </c>
      <c r="L14" s="15">
        <f>IF(I14="Oui",H14*J14,H14)</f>
        <v/>
      </c>
      <c r="M14" s="17" t="n"/>
      <c r="N14" s="15">
        <f>IF(N(M14)&gt;0,M14,(G14+H14)/2)</f>
        <v/>
      </c>
      <c r="O14" s="3" t="inlineStr">
        <is>
          <t>2 × 2 m.</t>
        </is>
      </c>
    </row>
    <row r="15">
      <c r="A15" s="8" t="n"/>
      <c r="B15" s="3" t="inlineStr">
        <is>
          <t>Plafond sous plancher étage + isolation phonique</t>
        </is>
      </c>
      <c r="C15" s="3" t="inlineStr">
        <is>
          <t>m²</t>
        </is>
      </c>
      <c r="D15" s="13" t="n">
        <v>72</v>
      </c>
      <c r="E15" s="14" t="n">
        <v>45</v>
      </c>
      <c r="F15" s="14" t="n">
        <v>80</v>
      </c>
      <c r="G15" s="15">
        <f>D15*E15</f>
        <v/>
      </c>
      <c r="H15" s="15">
        <f>D15*F15</f>
        <v/>
      </c>
      <c r="I15" s="13" t="inlineStr">
        <is>
          <t>Oui</t>
        </is>
      </c>
      <c r="J15" s="16" t="n">
        <v>0.45</v>
      </c>
      <c r="K15" s="15">
        <f>IF(I15="Oui",G15*J15,G15)</f>
        <v/>
      </c>
      <c r="L15" s="15">
        <f>IF(I15="Oui",H15*J15,H15)</f>
        <v/>
      </c>
      <c r="M15" s="17" t="n"/>
      <c r="N15" s="15">
        <f>IF(N(M15)&gt;0,M15,(G15+H15)/2)</f>
        <v/>
      </c>
      <c r="O15" s="3" t="inlineStr">
        <is>
          <t>Ou poutres apparentes traitées.</t>
        </is>
      </c>
    </row>
    <row r="16">
      <c r="A16" s="11" t="inlineStr">
        <is>
          <t>Électricité / chauffage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</row>
    <row r="17">
      <c r="A17" s="8" t="n"/>
      <c r="B17" s="3" t="inlineStr">
        <is>
          <t>Électricité séjour (prises, réseau, mur TV, éclairages table et billard)</t>
        </is>
      </c>
      <c r="C17" s="3" t="inlineStr">
        <is>
          <t>m²</t>
        </is>
      </c>
      <c r="D17" s="13" t="n">
        <v>72</v>
      </c>
      <c r="E17" s="14" t="n">
        <v>70</v>
      </c>
      <c r="F17" s="14" t="n">
        <v>110</v>
      </c>
      <c r="G17" s="15">
        <f>D17*E17</f>
        <v/>
      </c>
      <c r="H17" s="15">
        <f>D17*F17</f>
        <v/>
      </c>
      <c r="I17" s="13" t="inlineStr">
        <is>
          <t>Non</t>
        </is>
      </c>
      <c r="J17" s="16" t="n">
        <v>0.4</v>
      </c>
      <c r="K17" s="15">
        <f>IF(I17="Oui",G17*J17,G17)</f>
        <v/>
      </c>
      <c r="L17" s="15">
        <f>IF(I17="Oui",H17*J17,H17)</f>
        <v/>
      </c>
      <c r="M17" s="17" t="n"/>
      <c r="N17" s="15">
        <f>IF(N(M17)&gt;0,M17,(G17+H17)/2)</f>
        <v/>
      </c>
      <c r="O17" s="3" t="inlineStr"/>
    </row>
    <row r="18">
      <c r="A18" s="8" t="n"/>
      <c r="B18" s="3" t="inlineStr">
        <is>
          <t>Chauffage (poêle à bois ou PAC air/air)</t>
        </is>
      </c>
      <c r="C18" s="3" t="inlineStr">
        <is>
          <t>forfait</t>
        </is>
      </c>
      <c r="D18" s="13" t="n">
        <v>1</v>
      </c>
      <c r="E18" s="14" t="n">
        <v>4000</v>
      </c>
      <c r="F18" s="14" t="n">
        <v>12000</v>
      </c>
      <c r="G18" s="15">
        <f>D18*E18</f>
        <v/>
      </c>
      <c r="H18" s="15">
        <f>D18*F18</f>
        <v/>
      </c>
      <c r="I18" s="13" t="inlineStr">
        <is>
          <t>Non</t>
        </is>
      </c>
      <c r="J18" s="16" t="n">
        <v>0.6</v>
      </c>
      <c r="K18" s="15">
        <f>IF(I18="Oui",G18*J18,G18)</f>
        <v/>
      </c>
      <c r="L18" s="15">
        <f>IF(I18="Oui",H18*J18,H18)</f>
        <v/>
      </c>
      <c r="M18" s="17" t="n"/>
      <c r="N18" s="15">
        <f>IF(N(M18)&gt;0,M18,(G18+H18)/2)</f>
        <v/>
      </c>
      <c r="O18" s="3" t="inlineStr">
        <is>
          <t>Poêle : conduit compris.</t>
        </is>
      </c>
    </row>
    <row r="19">
      <c r="A19" s="11" t="inlineStr">
        <is>
          <t>Revêtements / finitions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</row>
    <row r="20">
      <c r="A20" s="8" t="n"/>
      <c r="B20" s="3" t="inlineStr">
        <is>
          <t>Revêtement de sol (parquet massif ou terre cuite)</t>
        </is>
      </c>
      <c r="C20" s="3" t="inlineStr">
        <is>
          <t>m²</t>
        </is>
      </c>
      <c r="D20" s="13" t="n">
        <v>72</v>
      </c>
      <c r="E20" s="14" t="n">
        <v>50</v>
      </c>
      <c r="F20" s="14" t="n">
        <v>110</v>
      </c>
      <c r="G20" s="15">
        <f>D20*E20</f>
        <v/>
      </c>
      <c r="H20" s="15">
        <f>D20*F20</f>
        <v/>
      </c>
      <c r="I20" s="13" t="inlineStr">
        <is>
          <t>Oui</t>
        </is>
      </c>
      <c r="J20" s="16" t="n">
        <v>0.6</v>
      </c>
      <c r="K20" s="15">
        <f>IF(I20="Oui",G20*J20,G20)</f>
        <v/>
      </c>
      <c r="L20" s="15">
        <f>IF(I20="Oui",H20*J20,H20)</f>
        <v/>
      </c>
      <c r="M20" s="17" t="n"/>
      <c r="N20" s="15">
        <f>IF(N(M20)&gt;0,M20,(G20+H20)/2)</f>
        <v/>
      </c>
      <c r="O20" s="3" t="inlineStr"/>
    </row>
    <row r="21">
      <c r="A21" s="8" t="n"/>
      <c r="B21" s="3" t="inlineStr">
        <is>
          <t>Peinture / enduits murs + plafond</t>
        </is>
      </c>
      <c r="C21" s="3" t="inlineStr">
        <is>
          <t>m²</t>
        </is>
      </c>
      <c r="D21" s="13" t="n">
        <v>150</v>
      </c>
      <c r="E21" s="14" t="n">
        <v>20</v>
      </c>
      <c r="F21" s="14" t="n">
        <v>35</v>
      </c>
      <c r="G21" s="15">
        <f>D21*E21</f>
        <v/>
      </c>
      <c r="H21" s="15">
        <f>D21*F21</f>
        <v/>
      </c>
      <c r="I21" s="13" t="inlineStr">
        <is>
          <t>Oui</t>
        </is>
      </c>
      <c r="J21" s="16" t="n">
        <v>0.25</v>
      </c>
      <c r="K21" s="15">
        <f>IF(I21="Oui",G21*J21,G21)</f>
        <v/>
      </c>
      <c r="L21" s="15">
        <f>IF(I21="Oui",H21*J21,H21)</f>
        <v/>
      </c>
      <c r="M21" s="17" t="n"/>
      <c r="N21" s="15">
        <f>IF(N(M21)&gt;0,M21,(G21+H21)/2)</f>
        <v/>
      </c>
      <c r="O21" s="3" t="inlineStr">
        <is>
          <t>Enduit chaux possible.</t>
        </is>
      </c>
    </row>
    <row r="22">
      <c r="A22" s="8" t="n"/>
      <c r="B22" s="3" t="inlineStr">
        <is>
          <t>Plinthes, finitions, habillage escalier</t>
        </is>
      </c>
      <c r="C22" s="3" t="inlineStr">
        <is>
          <t>forfait</t>
        </is>
      </c>
      <c r="D22" s="13" t="n">
        <v>1</v>
      </c>
      <c r="E22" s="14" t="n">
        <v>600</v>
      </c>
      <c r="F22" s="14" t="n">
        <v>1500</v>
      </c>
      <c r="G22" s="15">
        <f>D22*E22</f>
        <v/>
      </c>
      <c r="H22" s="15">
        <f>D22*F22</f>
        <v/>
      </c>
      <c r="I22" s="13" t="inlineStr">
        <is>
          <t>Oui</t>
        </is>
      </c>
      <c r="J22" s="16" t="n">
        <v>0.5</v>
      </c>
      <c r="K22" s="15">
        <f>IF(I22="Oui",G22*J22,G22)</f>
        <v/>
      </c>
      <c r="L22" s="15">
        <f>IF(I22="Oui",H22*J22,H22)</f>
        <v/>
      </c>
      <c r="M22" s="17" t="n"/>
      <c r="N22" s="15">
        <f>IF(N(M22)&gt;0,M22,(G22+H22)/2)</f>
        <v/>
      </c>
      <c r="O22" s="3" t="inlineStr">
        <is>
          <t>Escalier : compté dans l'onglet étage.</t>
        </is>
      </c>
    </row>
    <row r="24">
      <c r="B24" s="18" t="inlineStr">
        <is>
          <t>Sous-total travaux</t>
        </is>
      </c>
      <c r="G24" s="19">
        <f>SUM(G5:G22)</f>
        <v/>
      </c>
      <c r="H24" s="19">
        <f>SUM(H5:H22)</f>
        <v/>
      </c>
      <c r="K24" s="19">
        <f>SUM(K5:K22)</f>
        <v/>
      </c>
      <c r="L24" s="19">
        <f>SUM(L5:L22)</f>
        <v/>
      </c>
      <c r="N24" s="19">
        <f>SUM(N5:N22)</f>
        <v/>
      </c>
    </row>
    <row r="25">
      <c r="B25" s="20" t="inlineStr">
        <is>
          <t>Imprévus</t>
        </is>
      </c>
      <c r="G25" s="21">
        <f>G24*Paramètres!$B$4</f>
        <v/>
      </c>
      <c r="H25" s="21">
        <f>H24*Paramètres!$B$4</f>
        <v/>
      </c>
      <c r="K25" s="21">
        <f>K24*Paramètres!$B$4</f>
        <v/>
      </c>
      <c r="L25" s="21">
        <f>L24*Paramètres!$B$4</f>
        <v/>
      </c>
      <c r="N25" s="21">
        <f>N24*Paramètres!$B$4</f>
        <v/>
      </c>
    </row>
    <row r="26">
      <c r="B26" s="20" t="inlineStr">
        <is>
          <t>Maîtrise d'œuvre</t>
        </is>
      </c>
      <c r="G26" s="21">
        <f>G24*Paramètres!$B$5</f>
        <v/>
      </c>
      <c r="H26" s="21">
        <f>H24*Paramètres!$B$5</f>
        <v/>
      </c>
      <c r="K26" s="21">
        <f>K24*Paramètres!$B$5</f>
        <v/>
      </c>
      <c r="L26" s="21">
        <f>L24*Paramètres!$B$5</f>
        <v/>
      </c>
      <c r="N26" s="21">
        <f>N24*Paramètres!$B$5</f>
        <v/>
      </c>
    </row>
    <row r="27">
      <c r="A27" s="22" t="n"/>
      <c r="B27" s="23" t="inlineStr">
        <is>
          <t>TOTAL RDC TTC</t>
        </is>
      </c>
      <c r="C27" s="22" t="n"/>
      <c r="D27" s="22" t="n"/>
      <c r="E27" s="22" t="n"/>
      <c r="F27" s="22" t="n"/>
      <c r="G27" s="24">
        <f>G24+G25+G26</f>
        <v/>
      </c>
      <c r="H27" s="24">
        <f>H24+H25+H26</f>
        <v/>
      </c>
      <c r="I27" s="22" t="n"/>
      <c r="J27" s="22" t="n"/>
      <c r="K27" s="24">
        <f>K24+K25+K26</f>
        <v/>
      </c>
      <c r="L27" s="24">
        <f>L24+L25+L26</f>
        <v/>
      </c>
      <c r="M27" s="22" t="n"/>
      <c r="N27" s="24">
        <f>N24+N25+N26</f>
        <v/>
      </c>
      <c r="O27" s="22" t="n"/>
    </row>
    <row r="28">
      <c r="B28" s="20" t="inlineStr">
        <is>
          <t>Soit par m² (77 m²)</t>
        </is>
      </c>
      <c r="G28" s="25">
        <f>G27/77</f>
        <v/>
      </c>
      <c r="H28" s="25">
        <f>H27/77</f>
        <v/>
      </c>
      <c r="K28" s="25">
        <f>K27/77</f>
        <v/>
      </c>
      <c r="L28" s="25">
        <f>L27/77</f>
        <v/>
      </c>
      <c r="N28" s="25">
        <f>N27/77</f>
        <v/>
      </c>
    </row>
    <row r="30">
      <c r="B30" s="10" t="inlineStr">
        <is>
          <t>Lecture : « Total min / max » = fourchette entreprise. « Auto min / max » = coût si vous réalisez vous-même les postes marqués « Oui »</t>
        </is>
      </c>
    </row>
    <row r="31">
      <c r="B31" s="10" t="inlineStr">
        <is>
          <t>(vous ne payez alors que la part matériaux). « Montant retenu » = devis reçu s'il est saisi, sinon la moyenne min/max.</t>
        </is>
      </c>
    </row>
    <row r="32">
      <c r="B32" s="10" t="inlineStr">
        <is>
          <t>Source : estimations indicatives de prix moyens du marché (ordre de grandeur), à remplacer par les devis d'artisans.</t>
        </is>
      </c>
    </row>
  </sheetData>
  <dataValidations count="1">
    <dataValidation sqref="I6 I7 I8 I10 I11 I13 I14 I15 I17 I18 I20 I21 I22" showDropDown="0" showInputMessage="0" showErrorMessage="0" allowBlank="0" type="list">
      <formula1>"Oui,Non"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2" customWidth="1" min="2" max="2"/>
    <col width="8" customWidth="1" min="3" max="3"/>
    <col width="7" customWidth="1" min="4" max="4"/>
    <col width="11" customWidth="1" min="5" max="5"/>
    <col width="11" customWidth="1" min="6" max="6"/>
    <col width="13" customWidth="1" min="7" max="7"/>
    <col width="13" customWidth="1" min="8" max="8"/>
    <col width="11" customWidth="1" min="9" max="9"/>
    <col width="10" customWidth="1" min="10" max="10"/>
    <col width="13" customWidth="1" min="11" max="11"/>
    <col width="13" customWidth="1" min="12" max="12"/>
    <col width="13" customWidth="1" min="13" max="13"/>
    <col width="15" customWidth="1" min="14" max="14"/>
    <col width="44" customWidth="1" min="15" max="15"/>
  </cols>
  <sheetData>
    <row r="1">
      <c r="A1" s="1" t="inlineStr">
        <is>
          <t>La Marinka — Budget estimatif toiture (260 m²) et ravalement des façades</t>
        </is>
      </c>
    </row>
    <row r="2">
      <c r="A2" s="10" t="inlineStr">
        <is>
          <t>Prix TTC indicatifs (marché France 2025-2026, entreprise), travaux seuls sans ameublement. Cellules en BLEU = à ajuster ; colonne JAUNE « Devis reçu » = à remplir au fil des devis.</t>
        </is>
      </c>
    </row>
    <row r="4" ht="32" customHeight="1">
      <c r="A4" s="2" t="inlineStr">
        <is>
          <t>Lot</t>
        </is>
      </c>
      <c r="B4" s="2" t="inlineStr">
        <is>
          <t>Poste</t>
        </is>
      </c>
      <c r="C4" s="2" t="inlineStr">
        <is>
          <t>Unité</t>
        </is>
      </c>
      <c r="D4" s="2" t="inlineStr">
        <is>
          <t>Qté</t>
        </is>
      </c>
      <c r="E4" s="2" t="inlineStr">
        <is>
          <t>PU min €</t>
        </is>
      </c>
      <c r="F4" s="2" t="inlineStr">
        <is>
          <t>PU max €</t>
        </is>
      </c>
      <c r="G4" s="2" t="inlineStr">
        <is>
          <t>Total min €</t>
        </is>
      </c>
      <c r="H4" s="2" t="inlineStr">
        <is>
          <t>Total max €</t>
        </is>
      </c>
      <c r="I4" s="2" t="inlineStr">
        <is>
          <t>Faisable soi-même</t>
        </is>
      </c>
      <c r="J4" s="2" t="inlineStr">
        <is>
          <t>Part matériaux</t>
        </is>
      </c>
      <c r="K4" s="2" t="inlineStr">
        <is>
          <t>Auto min €</t>
        </is>
      </c>
      <c r="L4" s="2" t="inlineStr">
        <is>
          <t>Auto max €</t>
        </is>
      </c>
      <c r="M4" s="2" t="inlineStr">
        <is>
          <t>Devis reçu €</t>
        </is>
      </c>
      <c r="N4" s="2" t="inlineStr">
        <is>
          <t>Montant retenu €</t>
        </is>
      </c>
      <c r="O4" s="2" t="inlineStr">
        <is>
          <t>Commentaire</t>
        </is>
      </c>
    </row>
    <row r="5">
      <c r="A5" s="11" t="inlineStr">
        <is>
          <t>Couverture (260 m²)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</row>
    <row r="6">
      <c r="A6" s="8" t="n"/>
      <c r="B6" s="3" t="inlineStr">
        <is>
          <t>Dépose de la couverture existante + évacuation</t>
        </is>
      </c>
      <c r="C6" s="3" t="inlineStr">
        <is>
          <t>m²</t>
        </is>
      </c>
      <c r="D6" s="13" t="n">
        <v>260</v>
      </c>
      <c r="E6" s="14" t="n">
        <v>15</v>
      </c>
      <c r="F6" s="14" t="n">
        <v>30</v>
      </c>
      <c r="G6" s="15">
        <f>D6*E6</f>
        <v/>
      </c>
      <c r="H6" s="15">
        <f>D6*F6</f>
        <v/>
      </c>
      <c r="I6" s="13" t="inlineStr">
        <is>
          <t>Non</t>
        </is>
      </c>
      <c r="J6" s="16" t="n">
        <v>0.3</v>
      </c>
      <c r="K6" s="15">
        <f>IF(I6="Oui",G6*J6,G6)</f>
        <v/>
      </c>
      <c r="L6" s="15">
        <f>IF(I6="Oui",H6*J6,H6)</f>
        <v/>
      </c>
      <c r="M6" s="17" t="n"/>
      <c r="N6" s="15">
        <f>IF(N(M6)&gt;0,M6,(G6+H6)/2)</f>
        <v/>
      </c>
      <c r="O6" s="3" t="inlineStr"/>
    </row>
    <row r="7">
      <c r="A7" s="8" t="n"/>
      <c r="B7" s="3" t="inlineStr">
        <is>
          <t>Écran sous-toiture HPV + contre-liteaux + liteaux neufs</t>
        </is>
      </c>
      <c r="C7" s="3" t="inlineStr">
        <is>
          <t>m²</t>
        </is>
      </c>
      <c r="D7" s="13" t="n">
        <v>260</v>
      </c>
      <c r="E7" s="14" t="n">
        <v>25</v>
      </c>
      <c r="F7" s="14" t="n">
        <v>45</v>
      </c>
      <c r="G7" s="15">
        <f>D7*E7</f>
        <v/>
      </c>
      <c r="H7" s="15">
        <f>D7*F7</f>
        <v/>
      </c>
      <c r="I7" s="13" t="inlineStr">
        <is>
          <t>Non</t>
        </is>
      </c>
      <c r="J7" s="16" t="n">
        <v>0.5</v>
      </c>
      <c r="K7" s="15">
        <f>IF(I7="Oui",G7*J7,G7)</f>
        <v/>
      </c>
      <c r="L7" s="15">
        <f>IF(I7="Oui",H7*J7,H7)</f>
        <v/>
      </c>
      <c r="M7" s="17" t="n"/>
      <c r="N7" s="15">
        <f>IF(N(M7)&gt;0,M7,(G7+H7)/2)</f>
        <v/>
      </c>
      <c r="O7" s="3" t="inlineStr"/>
    </row>
    <row r="8">
      <c r="A8" s="8" t="n"/>
      <c r="B8" s="3" t="inlineStr">
        <is>
          <t>Tuiles neuves terre cuite, fourniture + pose</t>
        </is>
      </c>
      <c r="C8" s="3" t="inlineStr">
        <is>
          <t>m²</t>
        </is>
      </c>
      <c r="D8" s="13" t="n">
        <v>260</v>
      </c>
      <c r="E8" s="14" t="n">
        <v>50</v>
      </c>
      <c r="F8" s="14" t="n">
        <v>90</v>
      </c>
      <c r="G8" s="15">
        <f>D8*E8</f>
        <v/>
      </c>
      <c r="H8" s="15">
        <f>D8*F8</f>
        <v/>
      </c>
      <c r="I8" s="13" t="inlineStr">
        <is>
          <t>Non</t>
        </is>
      </c>
      <c r="J8" s="16" t="n">
        <v>0.6</v>
      </c>
      <c r="K8" s="15">
        <f>IF(I8="Oui",G8*J8,G8)</f>
        <v/>
      </c>
      <c r="L8" s="15">
        <f>IF(I8="Oui",H8*J8,H8)</f>
        <v/>
      </c>
      <c r="M8" s="17" t="n"/>
      <c r="N8" s="15">
        <f>IF(N(M8)&gt;0,M8,(G8+H8)/2)</f>
        <v/>
      </c>
      <c r="O8" s="3" t="inlineStr">
        <is>
          <t>Tuiles canal / anciennes : prendre le haut de fourchette ou plus.</t>
        </is>
      </c>
    </row>
    <row r="9">
      <c r="A9" s="8" t="n"/>
      <c r="B9" s="3" t="inlineStr">
        <is>
          <t>Faîtage, rives, arêtiers (scellés ou à sec)</t>
        </is>
      </c>
      <c r="C9" s="3" t="inlineStr">
        <is>
          <t>ml</t>
        </is>
      </c>
      <c r="D9" s="13" t="n">
        <v>60</v>
      </c>
      <c r="E9" s="14" t="n">
        <v>35</v>
      </c>
      <c r="F9" s="14" t="n">
        <v>70</v>
      </c>
      <c r="G9" s="15">
        <f>D9*E9</f>
        <v/>
      </c>
      <c r="H9" s="15">
        <f>D9*F9</f>
        <v/>
      </c>
      <c r="I9" s="13" t="inlineStr">
        <is>
          <t>Non</t>
        </is>
      </c>
      <c r="J9" s="16" t="n">
        <v>0.5</v>
      </c>
      <c r="K9" s="15">
        <f>IF(I9="Oui",G9*J9,G9)</f>
        <v/>
      </c>
      <c r="L9" s="15">
        <f>IF(I9="Oui",H9*J9,H9)</f>
        <v/>
      </c>
      <c r="M9" s="17" t="n"/>
      <c r="N9" s="15">
        <f>IF(N(M9)&gt;0,M9,(G9+H9)/2)</f>
        <v/>
      </c>
      <c r="O9" s="3" t="inlineStr">
        <is>
          <t>Linéaire à métrer.</t>
        </is>
      </c>
    </row>
    <row r="10">
      <c r="A10" s="8" t="n"/>
      <c r="B10" s="3" t="inlineStr">
        <is>
          <t>Zinguerie : gouttières, descentes, noues</t>
        </is>
      </c>
      <c r="C10" s="3" t="inlineStr">
        <is>
          <t>ml</t>
        </is>
      </c>
      <c r="D10" s="13" t="n">
        <v>40</v>
      </c>
      <c r="E10" s="14" t="n">
        <v>40</v>
      </c>
      <c r="F10" s="14" t="n">
        <v>80</v>
      </c>
      <c r="G10" s="15">
        <f>D10*E10</f>
        <v/>
      </c>
      <c r="H10" s="15">
        <f>D10*F10</f>
        <v/>
      </c>
      <c r="I10" s="13" t="inlineStr">
        <is>
          <t>Non</t>
        </is>
      </c>
      <c r="J10" s="16" t="n">
        <v>0.5</v>
      </c>
      <c r="K10" s="15">
        <f>IF(I10="Oui",G10*J10,G10)</f>
        <v/>
      </c>
      <c r="L10" s="15">
        <f>IF(I10="Oui",H10*J10,H10)</f>
        <v/>
      </c>
      <c r="M10" s="17" t="n"/>
      <c r="N10" s="15">
        <f>IF(N(M10)&gt;0,M10,(G10+H10)/2)</f>
        <v/>
      </c>
      <c r="O10" s="3" t="inlineStr">
        <is>
          <t>Zinc ou alu.</t>
        </is>
      </c>
    </row>
    <row r="11">
      <c r="A11" s="11" t="inlineStr">
        <is>
          <t>Façades (maison + grange)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</row>
    <row r="12">
      <c r="A12" s="8" t="n"/>
      <c r="B12" s="3" t="inlineStr">
        <is>
          <t>Ravalement sur pisé : piquage, réparations, enduit chaux 3 couches</t>
        </is>
      </c>
      <c r="C12" s="3" t="inlineStr">
        <is>
          <t>m²</t>
        </is>
      </c>
      <c r="D12" s="13" t="n">
        <v>400</v>
      </c>
      <c r="E12" s="14" t="n">
        <v>60</v>
      </c>
      <c r="F12" s="14" t="n">
        <v>120</v>
      </c>
      <c r="G12" s="15">
        <f>D12*E12</f>
        <v/>
      </c>
      <c r="H12" s="15">
        <f>D12*F12</f>
        <v/>
      </c>
      <c r="I12" s="13" t="inlineStr">
        <is>
          <t>Non</t>
        </is>
      </c>
      <c r="J12" s="16" t="n">
        <v>0.35</v>
      </c>
      <c r="K12" s="15">
        <f>IF(I12="Oui",G12*J12,G12)</f>
        <v/>
      </c>
      <c r="L12" s="15">
        <f>IF(I12="Oui",H12*J12,H12)</f>
        <v/>
      </c>
      <c r="M12" s="17" t="n"/>
      <c r="N12" s="15">
        <f>IF(N(M12)&gt;0,M12,(G12+H12)/2)</f>
        <v/>
      </c>
      <c r="O12" s="3" t="inlineStr">
        <is>
          <t>Surface de façades à métrer (≈ 250 m² grange + 150 à 250 m² maison). Jamais d'enduit ciment sur le pisé.</t>
        </is>
      </c>
    </row>
    <row r="13">
      <c r="A13" s="8" t="n"/>
      <c r="B13" s="3" t="inlineStr">
        <is>
          <t>Encadrements, appuis, soubassement drainant (anti-remontées)</t>
        </is>
      </c>
      <c r="C13" s="3" t="inlineStr">
        <is>
          <t>forfait</t>
        </is>
      </c>
      <c r="D13" s="13" t="n">
        <v>1</v>
      </c>
      <c r="E13" s="14" t="n">
        <v>2000</v>
      </c>
      <c r="F13" s="14" t="n">
        <v>6000</v>
      </c>
      <c r="G13" s="15">
        <f>D13*E13</f>
        <v/>
      </c>
      <c r="H13" s="15">
        <f>D13*F13</f>
        <v/>
      </c>
      <c r="I13" s="13" t="inlineStr">
        <is>
          <t>Non</t>
        </is>
      </c>
      <c r="J13" s="16" t="n">
        <v>0.4</v>
      </c>
      <c r="K13" s="15">
        <f>IF(I13="Oui",G13*J13,G13)</f>
        <v/>
      </c>
      <c r="L13" s="15">
        <f>IF(I13="Oui",H13*J13,H13)</f>
        <v/>
      </c>
      <c r="M13" s="17" t="n"/>
      <c r="N13" s="15">
        <f>IF(N(M13)&gt;0,M13,(G13+H13)/2)</f>
        <v/>
      </c>
      <c r="O13" s="3" t="inlineStr"/>
    </row>
    <row r="14">
      <c r="A14" s="11" t="inlineStr">
        <is>
          <t>Charpente / sécurité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</row>
    <row r="15">
      <c r="A15" s="8" t="n"/>
      <c r="B15" s="3" t="inlineStr">
        <is>
          <t>Reprise ponctuelle de charpente + traitement insectes / champignons</t>
        </is>
      </c>
      <c r="C15" s="3" t="inlineStr">
        <is>
          <t>forfait</t>
        </is>
      </c>
      <c r="D15" s="13" t="n">
        <v>1</v>
      </c>
      <c r="E15" s="14" t="n">
        <v>2000</v>
      </c>
      <c r="F15" s="14" t="n">
        <v>10000</v>
      </c>
      <c r="G15" s="15">
        <f>D15*E15</f>
        <v/>
      </c>
      <c r="H15" s="15">
        <f>D15*F15</f>
        <v/>
      </c>
      <c r="I15" s="13" t="inlineStr">
        <is>
          <t>Non</t>
        </is>
      </c>
      <c r="J15" s="16" t="n">
        <v>0.4</v>
      </c>
      <c r="K15" s="15">
        <f>IF(I15="Oui",G15*J15,G15)</f>
        <v/>
      </c>
      <c r="L15" s="15">
        <f>IF(I15="Oui",H15*J15,H15)</f>
        <v/>
      </c>
      <c r="M15" s="17" t="n"/>
      <c r="N15" s="15">
        <f>IF(N(M15)&gt;0,M15,(G15+H15)/2)</f>
        <v/>
      </c>
      <c r="O15" s="3" t="inlineStr">
        <is>
          <t>Selon diagnostic ; reprise lourde non comprise.</t>
        </is>
      </c>
    </row>
    <row r="16">
      <c r="A16" s="8" t="n"/>
      <c r="B16" s="3" t="inlineStr">
        <is>
          <t>Échafaudage, protections, sécurité (toiture + façades)</t>
        </is>
      </c>
      <c r="C16" s="3" t="inlineStr">
        <is>
          <t>forfait</t>
        </is>
      </c>
      <c r="D16" s="13" t="n">
        <v>1</v>
      </c>
      <c r="E16" s="14" t="n">
        <v>4000</v>
      </c>
      <c r="F16" s="14" t="n">
        <v>10000</v>
      </c>
      <c r="G16" s="15">
        <f>D16*E16</f>
        <v/>
      </c>
      <c r="H16" s="15">
        <f>D16*F16</f>
        <v/>
      </c>
      <c r="I16" s="13" t="inlineStr">
        <is>
          <t>Non</t>
        </is>
      </c>
      <c r="J16" s="16" t="n">
        <v>0.3</v>
      </c>
      <c r="K16" s="15">
        <f>IF(I16="Oui",G16*J16,G16)</f>
        <v/>
      </c>
      <c r="L16" s="15">
        <f>IF(I16="Oui",H16*J16,H16)</f>
        <v/>
      </c>
      <c r="M16" s="17" t="n"/>
      <c r="N16" s="15">
        <f>IF(N(M16)&gt;0,M16,(G16+H16)/2)</f>
        <v/>
      </c>
      <c r="O16" s="3" t="inlineStr">
        <is>
          <t>À mutualiser entre couvreur et façadier.</t>
        </is>
      </c>
    </row>
    <row r="18">
      <c r="B18" s="18" t="inlineStr">
        <is>
          <t>Sous-total travaux</t>
        </is>
      </c>
      <c r="G18" s="19">
        <f>SUM(G5:G16)</f>
        <v/>
      </c>
      <c r="H18" s="19">
        <f>SUM(H5:H16)</f>
        <v/>
      </c>
      <c r="K18" s="19">
        <f>SUM(K5:K16)</f>
        <v/>
      </c>
      <c r="L18" s="19">
        <f>SUM(L5:L16)</f>
        <v/>
      </c>
      <c r="N18" s="19">
        <f>SUM(N5:N16)</f>
        <v/>
      </c>
    </row>
    <row r="19">
      <c r="B19" s="20" t="inlineStr">
        <is>
          <t>Imprévus</t>
        </is>
      </c>
      <c r="G19" s="21">
        <f>G18*Paramètres!$B$4</f>
        <v/>
      </c>
      <c r="H19" s="21">
        <f>H18*Paramètres!$B$4</f>
        <v/>
      </c>
      <c r="K19" s="21">
        <f>K18*Paramètres!$B$4</f>
        <v/>
      </c>
      <c r="L19" s="21">
        <f>L18*Paramètres!$B$4</f>
        <v/>
      </c>
      <c r="N19" s="21">
        <f>N18*Paramètres!$B$4</f>
        <v/>
      </c>
    </row>
    <row r="20">
      <c r="B20" s="20" t="inlineStr">
        <is>
          <t>Maîtrise d'œuvre</t>
        </is>
      </c>
      <c r="G20" s="21">
        <f>G18*Paramètres!$B$5</f>
        <v/>
      </c>
      <c r="H20" s="21">
        <f>H18*Paramètres!$B$5</f>
        <v/>
      </c>
      <c r="K20" s="21">
        <f>K18*Paramètres!$B$5</f>
        <v/>
      </c>
      <c r="L20" s="21">
        <f>L18*Paramètres!$B$5</f>
        <v/>
      </c>
      <c r="N20" s="21">
        <f>N18*Paramètres!$B$5</f>
        <v/>
      </c>
    </row>
    <row r="21">
      <c r="A21" s="22" t="n"/>
      <c r="B21" s="23" t="inlineStr">
        <is>
          <t>TOTAL TOITURE + FAÇADES TTC (sans sarking)</t>
        </is>
      </c>
      <c r="C21" s="22" t="n"/>
      <c r="D21" s="22" t="n"/>
      <c r="E21" s="22" t="n"/>
      <c r="F21" s="22" t="n"/>
      <c r="G21" s="24">
        <f>G18+G19+G20</f>
        <v/>
      </c>
      <c r="H21" s="24">
        <f>H18+H19+H20</f>
        <v/>
      </c>
      <c r="I21" s="22" t="n"/>
      <c r="J21" s="22" t="n"/>
      <c r="K21" s="24">
        <f>K18+K19+K20</f>
        <v/>
      </c>
      <c r="L21" s="24">
        <f>L18+L19+L20</f>
        <v/>
      </c>
      <c r="M21" s="22" t="n"/>
      <c r="N21" s="24">
        <f>N18+N19+N20</f>
        <v/>
      </c>
      <c r="O21" s="22" t="n"/>
    </row>
    <row r="22">
      <c r="B22" s="20" t="inlineStr">
        <is>
          <t>Soit par m² (260 m²)</t>
        </is>
      </c>
      <c r="G22" s="25">
        <f>G21/260</f>
        <v/>
      </c>
      <c r="H22" s="25">
        <f>H21/260</f>
        <v/>
      </c>
      <c r="K22" s="25">
        <f>K21/260</f>
        <v/>
      </c>
      <c r="L22" s="25">
        <f>L21/260</f>
        <v/>
      </c>
      <c r="N22" s="25">
        <f>N21/260</f>
        <v/>
      </c>
    </row>
    <row r="24">
      <c r="B24" s="10" t="inlineStr">
        <is>
          <t>Lecture : « Total min / max » = fourchette entreprise. « Auto min / max » = coût si vous réalisez vous-même les postes marqués « Oui »</t>
        </is>
      </c>
    </row>
    <row r="25">
      <c r="B25" s="10" t="inlineStr">
        <is>
          <t>(vous ne payez alors que la part matériaux). « Montant retenu » = devis reçu s'il est saisi, sinon la moyenne min/max.</t>
        </is>
      </c>
    </row>
    <row r="26">
      <c r="B26" s="10" t="inlineStr">
        <is>
          <t>Source : estimations indicatives de prix moyens du marché (ordre de grandeur), à remplacer par les devis d'artisans.</t>
        </is>
      </c>
    </row>
    <row r="28">
      <c r="A28" s="26" t="inlineStr">
        <is>
          <t>OPTION SARKING</t>
        </is>
      </c>
      <c r="B28" s="26" t="inlineStr">
        <is>
          <t>Isolation posée par l'extérieur pendant la réfection (remplace l'isolation intérieure des rampants de l'étage)</t>
        </is>
      </c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</row>
    <row r="29">
      <c r="A29" s="3" t="n"/>
      <c r="B29" s="3" t="inlineStr">
        <is>
          <t>Isolation sarking fibre de bois 160-200 mm + pare-pluie (sur chevrons)</t>
        </is>
      </c>
      <c r="C29" s="3" t="inlineStr">
        <is>
          <t>m²</t>
        </is>
      </c>
      <c r="D29" s="13" t="n">
        <v>260</v>
      </c>
      <c r="E29" s="14" t="n">
        <v>80</v>
      </c>
      <c r="F29" s="14" t="n">
        <v>150</v>
      </c>
      <c r="G29" s="15">
        <f>D29*E29</f>
        <v/>
      </c>
      <c r="H29" s="15">
        <f>D29*F29</f>
        <v/>
      </c>
      <c r="I29" s="13" t="inlineStr">
        <is>
          <t>Non</t>
        </is>
      </c>
      <c r="J29" s="16" t="n">
        <v>0.55</v>
      </c>
      <c r="K29" s="15">
        <f>IF(I29="Oui",G29*J29,G29)</f>
        <v/>
      </c>
      <c r="L29" s="15">
        <f>IF(I29="Oui",H29*J29,H29)</f>
        <v/>
      </c>
      <c r="M29" s="17" t="n"/>
      <c r="N29" s="15">
        <f>IF(N(M29)&gt;0,M29,(G29+H29)/2)</f>
        <v/>
      </c>
      <c r="O29" s="3" t="inlineStr">
        <is>
          <t>Charpente apparente à l'étage, R ≈ 4 à 5.</t>
        </is>
      </c>
    </row>
    <row r="30">
      <c r="A30" s="3" t="n"/>
      <c r="B30" s="3" t="inlineStr">
        <is>
          <t>Rehausse des rives et adaptation zinguerie à l'épaisseur d'isolant</t>
        </is>
      </c>
      <c r="C30" s="3" t="inlineStr">
        <is>
          <t>forfait</t>
        </is>
      </c>
      <c r="D30" s="13" t="n">
        <v>1</v>
      </c>
      <c r="E30" s="14" t="n">
        <v>1500</v>
      </c>
      <c r="F30" s="14" t="n">
        <v>4000</v>
      </c>
      <c r="G30" s="15">
        <f>D30*E30</f>
        <v/>
      </c>
      <c r="H30" s="15">
        <f>D30*F30</f>
        <v/>
      </c>
      <c r="I30" s="13" t="inlineStr">
        <is>
          <t>Non</t>
        </is>
      </c>
      <c r="J30" s="16" t="n">
        <v>0.5</v>
      </c>
      <c r="K30" s="15">
        <f>IF(I30="Oui",G30*J30,G30)</f>
        <v/>
      </c>
      <c r="L30" s="15">
        <f>IF(I30="Oui",H30*J30,H30)</f>
        <v/>
      </c>
      <c r="M30" s="17" t="n"/>
      <c r="N30" s="15">
        <f>IF(N(M30)&gt;0,M30,(G30+H30)/2)</f>
        <v/>
      </c>
      <c r="O30" s="3" t="inlineStr"/>
    </row>
    <row r="31">
      <c r="B31" s="18" t="inlineStr">
        <is>
          <t>Sous-total option sarking</t>
        </is>
      </c>
      <c r="G31" s="19">
        <f>SUM(G29:G30)</f>
        <v/>
      </c>
      <c r="H31" s="19">
        <f>SUM(H29:H30)</f>
        <v/>
      </c>
      <c r="K31" s="19">
        <f>SUM(K29:K30)</f>
        <v/>
      </c>
      <c r="L31" s="19">
        <f>SUM(L29:L30)</f>
        <v/>
      </c>
      <c r="N31" s="19">
        <f>SUM(N29:N30)</f>
        <v/>
      </c>
    </row>
    <row r="32">
      <c r="B32" s="20" t="inlineStr">
        <is>
          <t>Économie : isolation intérieure des rampants supprimée (onglet étage)</t>
        </is>
      </c>
      <c r="G32" s="21">
        <f>-'Budget étage'!G10</f>
        <v/>
      </c>
      <c r="H32" s="21">
        <f>-'Budget étage'!H10</f>
        <v/>
      </c>
      <c r="K32" s="21">
        <f>-'Budget étage'!K10</f>
        <v/>
      </c>
      <c r="L32" s="21">
        <f>-'Budget étage'!L10</f>
        <v/>
      </c>
      <c r="N32" s="21">
        <f>-'Budget étage'!N10</f>
        <v/>
      </c>
    </row>
    <row r="33">
      <c r="A33" s="22" t="n"/>
      <c r="B33" s="23" t="inlineStr">
        <is>
          <t>SURCOÛT NET OPTION SARKING TTC (imprévus + MOE inclus)</t>
        </is>
      </c>
      <c r="C33" s="22" t="n"/>
      <c r="D33" s="22" t="n"/>
      <c r="E33" s="22" t="n"/>
      <c r="F33" s="22" t="n"/>
      <c r="G33" s="24">
        <f>(G31+G32)*(1+Paramètres!$B$4+Paramètres!$B$5)</f>
        <v/>
      </c>
      <c r="H33" s="24">
        <f>(H31+H32)*(1+Paramètres!$B$4+Paramètres!$B$5)</f>
        <v/>
      </c>
      <c r="I33" s="22" t="n"/>
      <c r="J33" s="22" t="n"/>
      <c r="K33" s="24">
        <f>(K31+K32)*(1+Paramètres!$B$4+Paramètres!$B$5)</f>
        <v/>
      </c>
      <c r="L33" s="24">
        <f>(L31+L32)*(1+Paramètres!$B$4+Paramètres!$B$5)</f>
        <v/>
      </c>
      <c r="M33" s="22" t="n"/>
      <c r="N33" s="24">
        <f>(N31+N32)*(1+Paramètres!$B$4+Paramètres!$B$5)</f>
        <v/>
      </c>
      <c r="O33" s="22" t="n"/>
    </row>
    <row r="35">
      <c r="B35" s="10" t="inlineStr">
        <is>
          <t>Le sarking garde la charpente apparente, libère quelques cm de hauteur sous rampant et facilite la pose étanche des Velux.</t>
        </is>
      </c>
    </row>
  </sheetData>
  <dataValidations count="1">
    <dataValidation sqref="I6 I7 I8 I9 I10 I12 I13 I15 I16" showDropDown="0" showInputMessage="0" showErrorMessage="0" allowBlank="0" type="list">
      <formula1>"Oui,Non"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50" customWidth="1" min="4" max="4"/>
  </cols>
  <sheetData>
    <row r="1">
      <c r="A1" s="1" t="inlineStr">
        <is>
          <t>La Marinka — Paramètres et postes hors budget</t>
        </is>
      </c>
    </row>
    <row r="3">
      <c r="A3" s="26" t="inlineStr">
        <is>
          <t>Paramètre</t>
        </is>
      </c>
      <c r="B3" s="26" t="inlineStr">
        <is>
          <t>Valeur</t>
        </is>
      </c>
      <c r="C3" s="26" t="inlineStr">
        <is>
          <t>Commentaire</t>
        </is>
      </c>
    </row>
    <row r="4">
      <c r="A4" s="20" t="inlineStr">
        <is>
          <t>Imprévus (% des travaux)</t>
        </is>
      </c>
      <c r="B4" s="28" t="n">
        <v>0.1</v>
      </c>
      <c r="C4" s="20" t="inlineStr">
        <is>
          <t>Usuel en rénovation de bâti ancien : 10 à 15 %.</t>
        </is>
      </c>
    </row>
    <row r="5">
      <c r="A5" s="20" t="inlineStr">
        <is>
          <t>Maîtrise d'œuvre / architecte (% des travaux)</t>
        </is>
      </c>
      <c r="B5" s="28" t="n">
        <v>0</v>
      </c>
      <c r="C5" s="20" t="inlineStr">
        <is>
          <t>0 % si vous pilotez vous-même ; 8 à 12 % avec un maître d'œuvre.</t>
        </is>
      </c>
    </row>
    <row r="7">
      <c r="A7" s="29" t="inlineStr">
        <is>
          <t>TVA : prix affichés TTC à 20 % (création de surface habitable dans une grange : taux réduit en principe non applicable).</t>
        </is>
      </c>
    </row>
    <row r="9">
      <c r="A9" s="18" t="inlineStr">
        <is>
          <t>Postes HORS budget étage (à chiffrer séparément)</t>
        </is>
      </c>
    </row>
    <row r="10">
      <c r="A10" s="26" t="inlineStr">
        <is>
          <t>Poste</t>
        </is>
      </c>
      <c r="B10" s="26" t="inlineStr">
        <is>
          <t>Min €</t>
        </is>
      </c>
      <c r="C10" s="26" t="inlineStr">
        <is>
          <t>Max €</t>
        </is>
      </c>
      <c r="D10" s="26" t="inlineStr">
        <is>
          <t>Commentaire</t>
        </is>
      </c>
    </row>
    <row r="11">
      <c r="A11" s="20" t="inlineStr">
        <is>
          <t>Raccordements eau / électricité / assainissement individuel</t>
        </is>
      </c>
      <c r="B11" s="30" t="n">
        <v>8000</v>
      </c>
      <c r="C11" s="30" t="n">
        <v>15000</v>
      </c>
      <c r="D11" s="20" t="inlineStr">
        <is>
          <t>Selon raccordement existant de la grange.</t>
        </is>
      </c>
    </row>
    <row r="12">
      <c r="A12" s="20" t="inlineStr">
        <is>
          <t>Renfort du plancher / chape</t>
        </is>
      </c>
      <c r="B12" s="30" t="n">
        <v>5000</v>
      </c>
      <c r="C12" s="30" t="n">
        <v>12000</v>
      </c>
      <c r="D12" s="20" t="inlineStr">
        <is>
          <t>Si le plancher de l'étage est insuffisant.</t>
        </is>
      </c>
    </row>
    <row r="13">
      <c r="A13" s="20" t="inlineStr">
        <is>
          <t>Taxe d'aménagement + dossier changement de destination</t>
        </is>
      </c>
      <c r="B13" s="30" t="n">
        <v>2000</v>
      </c>
      <c r="C13" s="30" t="n">
        <v>5000</v>
      </c>
      <c r="D13" s="20" t="inlineStr">
        <is>
          <t>Selon taux communal et départemental.</t>
        </is>
      </c>
    </row>
    <row r="14">
      <c r="A14" s="18" t="inlineStr">
        <is>
          <t>Total hors budget</t>
        </is>
      </c>
      <c r="B14" s="19">
        <f>SUM(B11:B13)</f>
        <v/>
      </c>
      <c r="C14" s="19">
        <f>SUM(C11:C13)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2026-10-04T10:04:10Z</dcterms:created>
  <dcterms:modified xsi:type="dcterms:W3CDTF">2026-10-04T10:04:10Z</dcterms:modified>
</cp:coreProperties>
</file>